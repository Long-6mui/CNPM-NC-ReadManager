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A2366E03-1492-4FD8-A23A-2E952B6A5E3C}" xr6:coauthVersionLast="47" xr6:coauthVersionMax="47" xr10:uidLastSave="{00000000-0000-0000-0000-000000000000}"/>
  <bookViews>
    <workbookView xWindow="-108" yWindow="-108" windowWidth="23256" windowHeight="13896" tabRatio="500" xr2:uid="{00000000-000D-0000-FFFF-FFFF00000000}"/>
  </bookViews>
  <sheets>
    <sheet name="Project Information" sheetId="1" r:id="rId1"/>
    <sheet name="Team" sheetId="2" r:id="rId2"/>
    <sheet name="Product backlog" sheetId="3" r:id="rId3"/>
    <sheet name="Sprint backlog" sheetId="4"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7" i="3" l="1"/>
  <c r="C67" i="3"/>
  <c r="D66" i="3"/>
  <c r="C66" i="3"/>
  <c r="D65" i="3"/>
  <c r="C65" i="3"/>
  <c r="D64" i="3"/>
  <c r="C64" i="3"/>
  <c r="C61" i="3"/>
  <c r="C60" i="3"/>
  <c r="C58" i="3"/>
  <c r="K56" i="3"/>
  <c r="K55" i="3"/>
  <c r="K53" i="3"/>
  <c r="K52" i="3"/>
  <c r="K51" i="3"/>
  <c r="K50" i="3"/>
  <c r="K48" i="3"/>
  <c r="K47" i="3"/>
  <c r="K45" i="3"/>
  <c r="K44" i="3"/>
  <c r="K43" i="3"/>
  <c r="K41" i="3"/>
  <c r="K40" i="3"/>
  <c r="K39" i="3"/>
  <c r="K38" i="3"/>
  <c r="K36" i="3"/>
  <c r="K35" i="3"/>
  <c r="K34" i="3"/>
  <c r="K33" i="3"/>
  <c r="K32" i="3"/>
  <c r="K31" i="3"/>
  <c r="K30" i="3"/>
  <c r="K29" i="3"/>
  <c r="K28" i="3"/>
  <c r="K26" i="3"/>
  <c r="K25" i="3"/>
  <c r="K24" i="3"/>
  <c r="K22" i="3"/>
  <c r="K21" i="3"/>
  <c r="K20" i="3"/>
  <c r="K19" i="3"/>
  <c r="K18" i="3"/>
  <c r="K17" i="3"/>
  <c r="K15" i="3"/>
  <c r="K14" i="3"/>
  <c r="K13" i="3"/>
  <c r="K12" i="3"/>
  <c r="K11" i="3"/>
  <c r="K10" i="3"/>
  <c r="K8" i="3"/>
  <c r="K7" i="3"/>
  <c r="K6" i="3"/>
  <c r="I57" i="4"/>
  <c r="C57" i="4"/>
  <c r="C54" i="4"/>
  <c r="C53" i="4"/>
  <c r="C52" i="4"/>
  <c r="C51" i="4"/>
  <c r="C50" i="4"/>
  <c r="I48" i="4"/>
  <c r="C48" i="4"/>
  <c r="C47" i="4"/>
  <c r="C46" i="4"/>
  <c r="C45" i="4"/>
  <c r="C44" i="4"/>
  <c r="C43" i="4"/>
  <c r="C42" i="4"/>
  <c r="C41" i="4"/>
  <c r="C40" i="4"/>
  <c r="C39" i="4"/>
  <c r="C38" i="4"/>
  <c r="C37" i="4"/>
  <c r="C36" i="4"/>
  <c r="C35" i="4"/>
  <c r="I33" i="4"/>
  <c r="C33" i="4"/>
  <c r="C32" i="4"/>
  <c r="C31" i="4"/>
  <c r="C30" i="4"/>
  <c r="C29" i="4"/>
  <c r="C28" i="4"/>
  <c r="C27" i="4"/>
  <c r="C26" i="4"/>
  <c r="C25" i="4"/>
  <c r="C24" i="4"/>
  <c r="C23" i="4"/>
  <c r="C22" i="4"/>
  <c r="C21" i="4"/>
  <c r="I19" i="4"/>
  <c r="C19" i="4"/>
  <c r="C18" i="4"/>
  <c r="C17" i="4"/>
  <c r="C16" i="4"/>
  <c r="C15" i="4"/>
  <c r="C14" i="4"/>
  <c r="C13" i="4"/>
  <c r="C12" i="4"/>
  <c r="C11" i="4"/>
  <c r="C10" i="4"/>
  <c r="C9" i="4"/>
  <c r="C8" i="4"/>
  <c r="C7" i="4"/>
  <c r="J5" i="4"/>
  <c r="I5" i="4"/>
  <c r="C5" i="4"/>
</calcChain>
</file>

<file path=xl/sharedStrings.xml><?xml version="1.0" encoding="utf-8"?>
<sst xmlns="http://schemas.openxmlformats.org/spreadsheetml/2006/main" count="651" uniqueCount="371">
  <si>
    <t>I. Requirements</t>
  </si>
  <si>
    <r>
      <t>1. Tên đề tài</t>
    </r>
    <r>
      <rPr>
        <sz val="10"/>
        <color theme="1"/>
        <rFont val="Arial"/>
        <charset val="1"/>
      </rPr>
      <t xml:space="preserve">
Xây dựng hệ thống quản lý đọc truyện.
</t>
    </r>
    <r>
      <rPr>
        <b/>
        <sz val="10"/>
        <color theme="1"/>
        <rFont val="Arial"/>
        <charset val="1"/>
      </rPr>
      <t>2. Mục tiêu dự án</t>
    </r>
    <r>
      <rPr>
        <sz val="10"/>
        <color theme="1"/>
        <rFont val="Arial"/>
        <charset val="1"/>
      </rPr>
      <t xml:space="preserve">
Xây dựng hệ thống cho phép người dùng tìm kiếm, đọc truyện trực tuyến và quản lý quá trình đọc trên nền tảng Web và Mobile. Hệ thống hỗ trợ đọc truyện miễn phí, đăng ký gói đọc theo tháng và mua quyền đọc từng bộ truyện. Đồng thời, cung cấp công cụ cho quản trị viên quản lý nội dung, thành viên, thanh toán và thống kê hoạt động kinh doanh.
</t>
    </r>
    <r>
      <rPr>
        <b/>
        <sz val="10"/>
        <color theme="1"/>
        <rFont val="Arial"/>
        <charset val="1"/>
      </rPr>
      <t>3. Đối tượng sử dụng</t>
    </r>
    <r>
      <rPr>
        <sz val="10"/>
        <color theme="1"/>
        <rFont val="Arial"/>
        <charset val="1"/>
      </rPr>
      <t xml:space="preserve">
- Khách truy cập: Tra cứu thông tin truyện, tìm kiếm và đọc các chương miễn phí.
- Thành viên: Sử dụng các chức năng dành cho người đọc; đăng ký gói, mua truyện, lưu tiến độ đọc, theo dõi truyện và tham gia thảo luận.
- Quản trị viên (Admin): Quản lý truyện, chương, chính sách truy cập, gói dịch vụ, thành viên, thảo luận và thống kê.
</t>
    </r>
    <r>
      <rPr>
        <b/>
        <sz val="10"/>
        <color theme="1"/>
        <rFont val="Arial"/>
        <charset val="1"/>
      </rPr>
      <t>4. Yêu cầu chức năng</t>
    </r>
    <r>
      <rPr>
        <sz val="10"/>
        <color theme="1"/>
        <rFont val="Arial"/>
        <charset val="1"/>
      </rPr>
      <t xml:space="preserve">
Mã        Nhóm chức năng                       Nội dung yêu cầu
FR01        Quản lý truyện                         Admin tạo và cập nhật tên truyện, ảnh bìa, giới thiệu, tác giả, thể loại và tình trạng phát hành. Một truyện có thể thuộc nhiều thể loại.
FR02        Quản lý chương                       Admin tạo hoặc tải lên chương, cập nhật thứ tự, tên, nội dung và thời điểm phát hành.
FR03        Chính sách truy cập                Admin thiết lập truyện miễn phí, trả phí hoặc kết hợp; xác định chương được đọc miễn phí và mức phí mua truyện.
FR04        Tra cứu truyện                         Người dùng tìm kiếm theo tên, tác giả, thể loại; duyệt truyện mới phát hành, mới cập nhật và được đọc nhiều.
FR05        Xem và đọc truyện                 Người dùng xem thông tin truyện, danh sách chương, trạng thái truy cập và đọc các chương được phép.
FR06        Quản lý gói đọc                       Admin tạo, cập nhật hoặc ngừng cung cấp gói; thiết lập mức phí, thời hạn và phạm vi truyện được đọc.
FR07        Đăng ký và gia hạn gói           Thành viên thanh toán để đăng ký hoặc gia hạn gói đọc theo tháng.
FR08        Mua truyện                              Thành viên thanh toán để nhận quyền đọc riêng từng bộ truyện theo chính sách hệ thống.
FR09        Kiểm tra quyền đọc                Hệ thống kiểm tra trạng thái miễn phí, gói còn hiệu lực và quyền mua riêng trước khi cho phép đọc chương trả phí.
FR10        Quản lý giao dịch                    Ghi nhận giao dịch; cho phép thành viên xem lịch sử thanh toán, truyện đã mua và thông tin gói đang sử dụng; hỗ trợ kiểm tra lỗi cập nhật quyền đọc.
FR11        Tiến độ đọc                             Lưu chương hoặc vị trí đọc gần nhất; cho phép thành viên tiếp tục đọc và xem danh sách truyện đang đọc.
FR12        Theo dõi và thông báo          Thành viên đánh dấu hoặc theo dõi truyện; nhận thông báo khi truyện có chương mới.
FR13        Thảo luận theo chương         Thành viên đăng và tham gia trao đổi gắn với từng chương.
FR14        Kiểm duyệt thảo luận            Admin xử lý nội dung không phù hợp, spam và nội dung bị báo cáo.
FR15        Quản lý thành viên                 Admin xem danh sách, tình trạng tài khoản; hạn chế hoặc tạm ngừng tài khoản vi phạm.
FR16        Thống kê hoạt động               Thống kê thành viên, đăng ký gói, gia hạn, lượt mua truyện và trạng thái giao dịch theo thời gian.
FR17        Thống kê doanh thu               Thống kê doanh thu theo từng gói, từng truyện và khoảng thời gian được lựa chọn.
FR18        Thống kê nội dung                  Ghi nhận lượt đọc theo truyện/chương; tổng hợp truyện được đọc, theo dõi, mua nhiều và mức độ quan tâm theo thể loại.
</t>
    </r>
    <r>
      <rPr>
        <b/>
        <sz val="10"/>
        <color theme="1"/>
        <rFont val="Arial"/>
        <charset val="1"/>
      </rPr>
      <t>5. Quy tắc nghiệp vụ</t>
    </r>
    <r>
      <rPr>
        <sz val="10"/>
        <color theme="1"/>
        <rFont val="Arial"/>
        <charset val="1"/>
      </rPr>
      <t xml:space="preserve">
- Truyện miễn phí cho phép đọc toàn bộ chương mà không cần mua truyện hoặc đăng ký gói.
- Chương trả phí chỉ được truy cập khi thành viên có gói còn hiệu lực bao gồm truyện đó hoặc đã mua quyền đọc truyện.
- Gói hết hạn không làm mất quyền đọc riêng của truyện đã mua.
- Hệ thống không yêu cầu thanh toán lại cho nội dung thành viên đang có quyền đọc hợp lệ.
- Chỉ kích hoạt quyền đọc sau khi thanh toán thành công; giao dịch thất bại không được cấp quyền.
- Giá thanh toán được xác định tại thời điểm giao dịch.
- Giao dịch thành công nhưng chưa cập nhật quyền đọc phải có cơ chế kiểm tra và xử lý.
- Thảo luận phải gắn đúng với chương tương ứng.
</t>
    </r>
    <r>
      <rPr>
        <b/>
        <sz val="10"/>
        <color theme="1"/>
        <rFont val="Arial"/>
        <charset val="1"/>
      </rPr>
      <t>6. Yêu cầu kỹ thuật</t>
    </r>
    <r>
      <rPr>
        <sz val="10"/>
        <color theme="1"/>
        <rFont val="Arial"/>
        <charset val="1"/>
      </rPr>
      <t xml:space="preserve">
- Phát triển theo kiến trúc client–server.
- Backend cung cấp RESTful API dùng chung cho Web và Mobile.
- Dữ liệu và xử lý nghiệp vụ được quản lý tập trung tại backend.
- Web Application cung cấp chức năng cho tất cả nhóm người dùng.
- Mobile Application cung cấp chức năng cho phía người đọc/thành viên.</t>
    </r>
  </si>
  <si>
    <t>TEAM DEVELOPMENT STRUCTURE</t>
  </si>
  <si>
    <t>No.</t>
  </si>
  <si>
    <t>Name</t>
  </si>
  <si>
    <t>Account</t>
  </si>
  <si>
    <t>Roles</t>
  </si>
  <si>
    <t>DateStart</t>
  </si>
  <si>
    <t>Date End</t>
  </si>
  <si>
    <t>Đoàn Vinh Danh</t>
  </si>
  <si>
    <t>Nomu-276</t>
  </si>
  <si>
    <t>Dev Mobile</t>
  </si>
  <si>
    <t>14/09/2026</t>
  </si>
  <si>
    <t>22/11/2026</t>
  </si>
  <si>
    <t>Nguyễn Đặng Gia Vy</t>
  </si>
  <si>
    <t>Gia-Vy</t>
  </si>
  <si>
    <t>Dev Web</t>
  </si>
  <si>
    <t>Lê Tấn Hoàng Long</t>
  </si>
  <si>
    <t>Long-6mui</t>
  </si>
  <si>
    <t>Team Lead / ScrumMaster</t>
  </si>
  <si>
    <t>Nguyễn Minh Hiếu</t>
  </si>
  <si>
    <t>nguyenminhhieu</t>
  </si>
  <si>
    <t>Nguyễn Bá Hoàng</t>
  </si>
  <si>
    <t>kucynguyen06</t>
  </si>
  <si>
    <t>Dev API</t>
  </si>
  <si>
    <t>Huỳnh Quốc Anh</t>
  </si>
  <si>
    <t>traibanh006</t>
  </si>
  <si>
    <t>HỆ THỐNG QUẢN LÝ ĐỌC TRUYỆN - PRODUCT BACKLOG</t>
  </si>
  <si>
    <t>Story ID</t>
  </si>
  <si>
    <t>Story Name</t>
  </si>
  <si>
    <t>Points</t>
  </si>
  <si>
    <t>Actor (Là…)</t>
  </si>
  <si>
    <t>User Story (Là … tôi muốn … để …)</t>
  </si>
  <si>
    <t>Priority</t>
  </si>
  <si>
    <t>Rủi ro</t>
  </si>
  <si>
    <t>Mức rủi ro</t>
  </si>
  <si>
    <t>Sprint</t>
  </si>
  <si>
    <t>Nguồn yêu cầu</t>
  </si>
  <si>
    <t>Chi phí ước tính (VNĐ)</t>
  </si>
  <si>
    <t>1. Tài khoản và phân quyền</t>
  </si>
  <si>
    <t>PB01</t>
  </si>
  <si>
    <t>Đăng ký tài khoản</t>
  </si>
  <si>
    <t>Khách truy cập</t>
  </si>
  <si>
    <t>Là khách truy cập, tôi muốn đăng ký tài khoản bằng thông tin hợp lệ để trở thành thành viên và dùng các chức năng dành cho người đọc.</t>
  </si>
  <si>
    <t>Cao</t>
  </si>
  <si>
    <t>Trùng tài khoản, dữ liệu đầu vào không hợp lệ</t>
  </si>
  <si>
    <t>Thấp</t>
  </si>
  <si>
    <t>Sprint 1</t>
  </si>
  <si>
    <t>Nền tảng</t>
  </si>
  <si>
    <t>PB02</t>
  </si>
  <si>
    <t>Đăng nhập và đăng xuất</t>
  </si>
  <si>
    <t>Thành viên</t>
  </si>
  <si>
    <t>Là thành viên, tôi muốn đăng nhập và đăng xuất an toàn để truy cập chức năng theo quyền và bảo vệ tài khoản.</t>
  </si>
  <si>
    <t>Lỗi quản lý phiên/token</t>
  </si>
  <si>
    <t>Trung bình</t>
  </si>
  <si>
    <t>PB03</t>
  </si>
  <si>
    <t>Phân quyền chức năng</t>
  </si>
  <si>
    <t>Admin</t>
  </si>
  <si>
    <t>Là Admin, tôi muốn hệ thống phân quyền chức năng theo vai trò để chỉ đúng người dùng được vào chức năng quản trị và dữ liệu cá nhân.</t>
  </si>
  <si>
    <t>Lọt quyền truy cập trái phép</t>
  </si>
  <si>
    <t>2. Quản lý truyện và chương</t>
  </si>
  <si>
    <t>PB04</t>
  </si>
  <si>
    <t>Tạo bộ truyện</t>
  </si>
  <si>
    <t>Là Admin, tôi muốn tạo bộ truyện với tên, ảnh bìa, giới thiệu, tác giả để có nội dung để người đọc truy cập.</t>
  </si>
  <si>
    <t>Thiếu kiểm tra dữ liệu bắt buộc, upload ảnh bìa lỗi</t>
  </si>
  <si>
    <t>FR01</t>
  </si>
  <si>
    <t>PB05</t>
  </si>
  <si>
    <t>Cập nhật truyện và tình trạng phát hành</t>
  </si>
  <si>
    <t>Là Admin, tôi muốn cập nhật thông tin truyện và tình trạng phát hành để thông tin truyện luôn chính xác, mới nhất.</t>
  </si>
  <si>
    <t>Ghi đè nhầm dữ liệu</t>
  </si>
  <si>
    <t>PB06</t>
  </si>
  <si>
    <t>Gán một hoặc nhiều thể loại cho truyện</t>
  </si>
  <si>
    <t>Là Admin, tôi muốn gán một hoặc nhiều thể loại cho truyện để người đọc tìm và duyệt truyện theo thể loại.</t>
  </si>
  <si>
    <t>Quan hệ nhiều–nhiều thiết kế sai</t>
  </si>
  <si>
    <t>PB07</t>
  </si>
  <si>
    <t>Tạo hoặc tải lên chương truyện</t>
  </si>
  <si>
    <t>Là Admin, tôi muốn tạo hoặc tải lên chương truyện để bổ sung nội dung đọc cho bộ truyện.</t>
  </si>
  <si>
    <t>Tệp lớn, định dạng nội dung không thống nhất</t>
  </si>
  <si>
    <t>FR02</t>
  </si>
  <si>
    <t>PB08</t>
  </si>
  <si>
    <t>Chỉnh sửa thông tin và nội dung chương</t>
  </si>
  <si>
    <t>Là Admin, tôi muốn chỉnh sửa thông tin và nội dung chương để sửa lỗi và cập nhật nội dung chương đã đăng.</t>
  </si>
  <si>
    <t>Sửa nhầm chương của truyện khác</t>
  </si>
  <si>
    <t>PB09</t>
  </si>
  <si>
    <t>Chuẩn bị và phát hành chương theo thời điểm</t>
  </si>
  <si>
    <t>Là Admin, tôi muốn chuẩn bị chương và hẹn thời điểm phát hành để chủ động lịch ra chương, chương chưa công bố không bị lộ.</t>
  </si>
  <si>
    <t>Lập lịch sai múi giờ; chương lộ sớm</t>
  </si>
  <si>
    <t>Sprint 3</t>
  </si>
  <si>
    <t>3. Chính sách truy cập và trải nghiệm đọc</t>
  </si>
  <si>
    <t>PB10</t>
  </si>
  <si>
    <t>Thiết lập chính sách miễn phí, trả phí cho truyện và chương</t>
  </si>
  <si>
    <t>Là Admin, tôi muốn thiết lập truyện miễn phí, trả phí hoặc kết hợp và chương đọc thử để kiểm soát nội dung nào cần thanh toán.</t>
  </si>
  <si>
    <t>Cấu hình sai làm sai quyền đọc</t>
  </si>
  <si>
    <t>FR03</t>
  </si>
  <si>
    <t>PB11</t>
  </si>
  <si>
    <t>Xem thông tin truyện và danh sách chương kèm trạng thái truy cập</t>
  </si>
  <si>
    <t>Là khách truy cập, tôi muốn xem thông tin truyện và danh sách chương kèm trạng thái truy cập để biết chương nào đọc miễn phí, chương nào cần trả phí.</t>
  </si>
  <si>
    <t>Hiển thị trạng thái truy cập sai</t>
  </si>
  <si>
    <t>FR05</t>
  </si>
  <si>
    <t>PB12</t>
  </si>
  <si>
    <t>Đọc nội dung chương miễn phí</t>
  </si>
  <si>
    <t>Là khách truy cập, tôi muốn đọc nội dung các chương miễn phí để trải nghiệm truyện trước khi quyết định trả phí.</t>
  </si>
  <si>
    <t>Hiển thị không đồng nhất giữa Web và Mobile</t>
  </si>
  <si>
    <t>PB13</t>
  </si>
  <si>
    <t>Tìm kiếm truyện theo tên, tác giả và thể loại</t>
  </si>
  <si>
    <t>Là khách truy cập, tôi muốn tìm kiếm truyện theo tên, tác giả, thể loại để nhanh chóng tìm được truyện mong muốn.</t>
  </si>
  <si>
    <t>Hiệu năng tìm kiếm khi dữ liệu lớn</t>
  </si>
  <si>
    <t>FR04</t>
  </si>
  <si>
    <t>PB14</t>
  </si>
  <si>
    <t>Duyệt truyện mới phát hành, mới cập nhật và được đọc nhiều</t>
  </si>
  <si>
    <t>Là khách truy cập, tôi muốn duyệt truyện mới phát hành, mới cập nhật và được đọc nhiều để khám phá truyện hấp dẫn.</t>
  </si>
  <si>
    <t>Tiêu chí "đọc nhiều" phụ thuộc dữ liệu lượt đọc</t>
  </si>
  <si>
    <t>PB15</t>
  </si>
  <si>
    <t>Ghi nhận lượt đọc theo truyện và chương</t>
  </si>
  <si>
    <t>Là Admin, tôi muốn hệ thống ghi nhận lượt đọc theo truyện và chương để có dữ liệu để thống kê mức độ quan tâm.</t>
  </si>
  <si>
    <t>Ghi trùng lượt đọc; ảnh hưởng hiệu năng</t>
  </si>
  <si>
    <t>FR18</t>
  </si>
  <si>
    <t>4. Quản lý giá và gói dịch vụ</t>
  </si>
  <si>
    <t>PB16</t>
  </si>
  <si>
    <t>Thiết lập và điều chỉnh giá mua từng truyện</t>
  </si>
  <si>
    <t>Là Admin, tôi muốn thiết lập và điều chỉnh giá mua từng truyện để linh hoạt trong chính sách kinh doanh.</t>
  </si>
  <si>
    <t>Đổi giá ảnh hưởng giao dịch cũ (giá phải chốt tại thời điểm giao dịch)</t>
  </si>
  <si>
    <t>Sprint 2</t>
  </si>
  <si>
    <t>PB17</t>
  </si>
  <si>
    <t>Tạo gói đọc theo tháng với mức phí, thời hạn và phạm vi truy cập</t>
  </si>
  <si>
    <t>Là Admin, tôi muốn tạo gói đọc theo tháng với mức phí, thời hạn, phạm vi truyện để cung cấp lựa chọn đọc theo gói cho thành viên.</t>
  </si>
  <si>
    <t>Xác định phạm vi truyện của gói chưa rõ</t>
  </si>
  <si>
    <t>FR06</t>
  </si>
  <si>
    <t>PB18</t>
  </si>
  <si>
    <t>Cập nhật và ngừng cung cấp gói đọc</t>
  </si>
  <si>
    <t>Là Admin, tôi muốn cập nhật hoặc ngừng cung cấp gói đọc để quản lý vòng đời gói mà không ảnh hưởng lịch sử.</t>
  </si>
  <si>
    <t>Ngừng gói ảnh hưởng thành viên đang sử dụng</t>
  </si>
  <si>
    <t>5. Thanh toán và quyền đọc</t>
  </si>
  <si>
    <t>PB19</t>
  </si>
  <si>
    <t>Đăng ký và thanh toán gói đọc theo tháng</t>
  </si>
  <si>
    <t>Là thành viên, tôi muốn thanh toán để đăng ký gói đọc theo tháng để đọc các chương trả phí trong phạm vi gói.</t>
  </si>
  <si>
    <t>Tích hợp cổng thanh toán; kích hoạt sai thời điểm</t>
  </si>
  <si>
    <t>FR07</t>
  </si>
  <si>
    <t>PB20</t>
  </si>
  <si>
    <t>Gia hạn gói đọc</t>
  </si>
  <si>
    <t>Là thành viên, tôi muốn gia hạn gói đọc để tiếp tục đọc không bị gián đoạn.</t>
  </si>
  <si>
    <t>Quy tắc gia hạn sớm/muộn chưa thống nhất</t>
  </si>
  <si>
    <t>PB21</t>
  </si>
  <si>
    <t>Thanh toán mua quyền đọc riêng một bộ truyện</t>
  </si>
  <si>
    <t>Là thành viên, tôi muốn thanh toán để mua quyền đọc riêng một bộ truyện để sở hữu quyền đọc độc lập với gói tháng.</t>
  </si>
  <si>
    <t>Tích hợp cổng thanh toán; cấp quyền trùng</t>
  </si>
  <si>
    <t>FR08</t>
  </si>
  <si>
    <t>PB22</t>
  </si>
  <si>
    <t>Kiểm tra quyền truy cập và đọc chương trả phí</t>
  </si>
  <si>
    <t>Là thành viên, tôi muốn hệ thống kiểm tra quyền trước khi cho đọc chương trả phí để chỉ nội dung hợp lệ mới được truy cập, không phải trả tiền lại.</t>
  </si>
  <si>
    <t>Logic phức tạp (miễn phí/gói còn hạn/mua riêng); sai sót gây mất doanh thu</t>
  </si>
  <si>
    <t>FR09</t>
  </si>
  <si>
    <t>PB23</t>
  </si>
  <si>
    <t>Xử lý quyền đọc khi gói hết hạn</t>
  </si>
  <si>
    <t>Là thành viên, tôi muốn giữ quyền đọc các truyện đã mua khi gói hết hạn để không mất quyền đọc đã trả tiền.</t>
  </si>
  <si>
    <t>Nhầm lẫn giữa quyền từ gói và quyền mua riêng</t>
  </si>
  <si>
    <t>PB24</t>
  </si>
  <si>
    <t>Xử lý thanh toán chưa thành công, không cấp quyền đọc</t>
  </si>
  <si>
    <t>Là thành viên, tôi muốn hệ thống chỉ cấp quyền đọc sau khi thanh toán thành công để giao dịch thất bại/chờ/hủy không phát sinh quyền sai.</t>
  </si>
  <si>
    <t>Callback thanh toán trễ hoặc gửi lặp</t>
  </si>
  <si>
    <t>FR10</t>
  </si>
  <si>
    <t>PB25</t>
  </si>
  <si>
    <t>Khôi phục quyền đọc khi thanh toán thành công nhưng cập nhật quyền bị lỗi</t>
  </si>
  <si>
    <t>Là Admin, tôi muốn kiểm tra và khôi phục quyền đọc khi giao dịch thành công nhưng cập nhật quyền bị lỗi để thành viên đã trả tiền vẫn đọc được, không bị thu thêm tiền.</t>
  </si>
  <si>
    <t>Xử lý lại gây cấp trùng quyền hoặc thu trùng</t>
  </si>
  <si>
    <t>PB26</t>
  </si>
  <si>
    <t>Xem lịch sử thanh toán</t>
  </si>
  <si>
    <t>Là thành viên, tôi muốn xem lịch sử thanh toán để theo dõi các khoản đã chi.</t>
  </si>
  <si>
    <t>Số liệu không khớp trạng thái giao dịch</t>
  </si>
  <si>
    <t>PB27</t>
  </si>
  <si>
    <t>Xem truyện đã mua, gói đang sử dụng và thời hạn hiệu lực</t>
  </si>
  <si>
    <t>Là thành viên, tôi muốn xem truyện đã mua, gói đang sử dụng và thời hạn hiệu lực để nắm rõ quyền lợi của tài khoản.</t>
  </si>
  <si>
    <t>Hiển thị sai hạn gói</t>
  </si>
  <si>
    <t>6. Quản lý quá trình đọc và thông báo</t>
  </si>
  <si>
    <t>PB28</t>
  </si>
  <si>
    <t>Lưu và tiếp tục tiến độ đọc</t>
  </si>
  <si>
    <t>Là thành viên, tôi muốn hệ thống lưu và cho tôi tiếp tục tiến độ đọc để đọc tiếp đúng chương/vị trí trên mọi thiết bị.</t>
  </si>
  <si>
    <t>Đồng bộ tiến độ giữa Web và Mobile</t>
  </si>
  <si>
    <t>FR11</t>
  </si>
  <si>
    <t>PB29</t>
  </si>
  <si>
    <t>Xem danh sách truyện đang đọc</t>
  </si>
  <si>
    <t>Là thành viên, tôi muốn xem danh sách truyện đang đọc để mở lại truyện nhanh chóng.</t>
  </si>
  <si>
    <t>Phụ thuộc dữ liệu tiến độ đọc (PB28)</t>
  </si>
  <si>
    <t>PB30</t>
  </si>
  <si>
    <t>Theo dõi, bỏ theo dõi và xem danh sách truyện quan tâm</t>
  </si>
  <si>
    <t>Là thành viên, tôi muốn theo dõi, bỏ theo dõi và xem danh sách truyện quan tâm để không quên các truyện yêu thích.</t>
  </si>
  <si>
    <t>Theo dõi trùng lặp</t>
  </si>
  <si>
    <t>FR12</t>
  </si>
  <si>
    <t>PB31</t>
  </si>
  <si>
    <t>Nhận thông báo khi truyện đang theo dõi có chương mới</t>
  </si>
  <si>
    <t>Là thành viên, tôi muốn nhận thông báo khi truyện đang theo dõi có chương mới để không bỏ lỡ chương mới.</t>
  </si>
  <si>
    <t>Gửi thông báo (push) trên Mobile; thông báo gửi lặp</t>
  </si>
  <si>
    <t>7. Thảo luận và kiểm duyệt</t>
  </si>
  <si>
    <t>PB32</t>
  </si>
  <si>
    <t>Xem và đăng thảo luận theo từng chương</t>
  </si>
  <si>
    <t>Là thành viên, tôi muốn xem và đăng thảo luận gắn với từng chương để trao đổi với cộng đồng người đọc.</t>
  </si>
  <si>
    <t>Spam; thảo luận gắn sai chương</t>
  </si>
  <si>
    <t>FR13</t>
  </si>
  <si>
    <t>PB33</t>
  </si>
  <si>
    <t>Báo cáo nội dung thảo luận vi phạm</t>
  </si>
  <si>
    <t>Là thành viên, tôi muốn báo cáo nội dung thảo luận vi phạm để giữ môi trường thảo luận lành mạnh.</t>
  </si>
  <si>
    <t>Báo cáo sai/lạm dụng chức năng báo cáo</t>
  </si>
  <si>
    <t>FR14</t>
  </si>
  <si>
    <t>PB34</t>
  </si>
  <si>
    <t>Kiểm duyệt thảo luận và xử lý báo cáo vi phạm</t>
  </si>
  <si>
    <t>Là Admin, tôi muốn kiểm duyệt thảo luận và xử lý báo cáo vi phạm để loại bỏ nội dung spam, không phù hợp.</t>
  </si>
  <si>
    <t>Xử lý nhầm nội dung hợp lệ</t>
  </si>
  <si>
    <t>8. Quản lý thành viên</t>
  </si>
  <si>
    <t>PB35</t>
  </si>
  <si>
    <t>Xem danh sách, tình trạng và thông tin sử dụng dịch vụ của thành viên</t>
  </si>
  <si>
    <t>Là Admin, tôi muốn xem danh sách, tình trạng và thông tin sử dụng dịch vụ của thành viên để quản lý thành viên hiệu quả.</t>
  </si>
  <si>
    <t>Lộ dữ liệu cá nhân nếu phân quyền sai</t>
  </si>
  <si>
    <t>FR15</t>
  </si>
  <si>
    <t>PB36</t>
  </si>
  <si>
    <t>Hạn chế hoặc tạm ngừng tài khoản vi phạm</t>
  </si>
  <si>
    <t>Là Admin, tôi muốn hạn chế hoặc tạm ngừng tài khoản vi phạm để bảo vệ cộng đồng và hệ thống.</t>
  </si>
  <si>
    <t>Khóa nhầm tài khoản; tài khoản bị khóa vẫn đăng bài</t>
  </si>
  <si>
    <t>9. Thống kê và báo cáo</t>
  </si>
  <si>
    <t>PB37</t>
  </si>
  <si>
    <t>Thống kê thành viên, đăng ký mới, gia hạn, mua truyện và trạng thái giao dịch</t>
  </si>
  <si>
    <t>Là Admin, tôi muốn thống kê thành viên, đăng ký mới, gia hạn, mua truyện, trạng thái giao dịch để theo dõi hoạt động của hệ thống theo thời gian.</t>
  </si>
  <si>
    <t>Số liệu thống kê không khớp dữ liệu giao dịch</t>
  </si>
  <si>
    <t>Sprint 4</t>
  </si>
  <si>
    <t>FR16</t>
  </si>
  <si>
    <t>PB38</t>
  </si>
  <si>
    <t>Thống kê doanh thu gói đọc theo loại gói và thời gian</t>
  </si>
  <si>
    <t>Là Admin, tôi muốn thống kê doanh thu gói đọc theo loại gói và thời gian để đánh giá hiệu quả kinh doanh của từng gói.</t>
  </si>
  <si>
    <t>Chỉ tính giao dịch thành công; truy vấn chậm</t>
  </si>
  <si>
    <t>FR17</t>
  </si>
  <si>
    <t>PB39</t>
  </si>
  <si>
    <t>Thống kê lượt mua và doanh thu theo truyện, theo thời gian</t>
  </si>
  <si>
    <t>Là Admin, tôi muốn thống kê lượt mua và doanh thu theo từng truyện, theo thời gian để biết truyện nào mang lại doanh thu.</t>
  </si>
  <si>
    <t>Giá thay đổi theo thời điểm làm sai tổng hợp</t>
  </si>
  <si>
    <t>PB40</t>
  </si>
  <si>
    <t>Thống kê mức độ quan tâm theo truyện, chương và thể loại</t>
  </si>
  <si>
    <t>Là Admin, tôi muốn thống kê mức độ quan tâm theo truyện, chương và thể loại để định hướng nội dung phát triển.</t>
  </si>
  <si>
    <t>Phụ thuộc chất lượng dữ liệu lượt đọc/theo dõi</t>
  </si>
  <si>
    <t>10. Nền tảng kỹ thuật và tích hợp</t>
  </si>
  <si>
    <t>PB41</t>
  </si>
  <si>
    <t>Thiết lập backend RESTful API dùng chung cho Web và Mobile</t>
  </si>
  <si>
    <t>Nhóm phát triển</t>
  </si>
  <si>
    <t>Là nhóm phát triển, tôi muốn thiết lập backend RESTful API dùng chung cho Web và Mobile để mọi nghiệp vụ tập trung tại backend và dùng chung dữ liệu.</t>
  </si>
  <si>
    <t>Thiết kế API thay đổi muộn ảnh hưởng nhiều story</t>
  </si>
  <si>
    <t>Yêu cầu kỹ thuật</t>
  </si>
  <si>
    <t>PB42</t>
  </si>
  <si>
    <t>Kiểm thử tích hợp toàn hệ thống Web và Mobile</t>
  </si>
  <si>
    <t>Là nhóm phát triển, tôi muốn kiểm thử tích hợp toàn hệ thống Web và Mobile để phát hiện, sửa lỗi trước khi bàn giao.</t>
  </si>
  <si>
    <t>Phát hiện lỗi muộn, thiếu thời gian sửa</t>
  </si>
  <si>
    <t>Tổng story point</t>
  </si>
  <si>
    <t>Đơn giá ước tính / story point (VNĐ) – GIẢ ĐỊNH, nhóm tự chỉnh</t>
  </si>
  <si>
    <t>Tổng chi phí ước tính (VNĐ)</t>
  </si>
  <si>
    <t>Số sprint / điểm trung bình mỗi sprint (velocity dự kiến)</t>
  </si>
  <si>
    <t>Thống kê theo Priority</t>
  </si>
  <si>
    <t>Số story</t>
  </si>
  <si>
    <t>Tổng điểm</t>
  </si>
  <si>
    <t>Tổng</t>
  </si>
  <si>
    <t>HỆ THỐNG QUẢN LÝ ĐỌC TRUYỆN - SPRINT BACKLOG</t>
  </si>
  <si>
    <t>Kế hoạch (Plan)</t>
  </si>
  <si>
    <t>Thực tế (Actual)</t>
  </si>
  <si>
    <t>Name Of Dev</t>
  </si>
  <si>
    <t>Start Date</t>
  </si>
  <si>
    <t>Endate</t>
  </si>
  <si>
    <t>Act Start Date</t>
  </si>
  <si>
    <t>ActEndate</t>
  </si>
  <si>
    <t>Act Points</t>
  </si>
  <si>
    <t>Notes</t>
  </si>
  <si>
    <t>TỔNG ĐIỂM TOÀN DỰ ÁN</t>
  </si>
  <si>
    <t>Sprint 1 | Tuần 1–2 (14/09/2026 – 25/09/2026) | Mục tiêu: Nền tảng backend, tài khoản – phân quyền, quản lý truyện/chương và đọc chương miễn phí</t>
  </si>
  <si>
    <t>Thiết lập backend RESTful API dùng chung</t>
  </si>
  <si>
    <t>API: Hoàng, Anh | Điều phối: Long</t>
  </si>
  <si>
    <t>Thiết lập nền tảng; API nghiệp vụ làm cùng từng story</t>
  </si>
  <si>
    <t>API: Anh | Web: Hiếu | Mobile: Danh</t>
  </si>
  <si>
    <t>Kiểm tra thông tin bắt buộc và tài khoản trùng</t>
  </si>
  <si>
    <t>Xác thực và quản lý phiên</t>
  </si>
  <si>
    <t>Backend bảo vệ chức năng Admin và dữ liệu cá nhân</t>
  </si>
  <si>
    <t>API: Anh | Web: Vy</t>
  </si>
  <si>
    <t>Lưu đầy đủ thông tin truyện</t>
  </si>
  <si>
    <t>API: Hoàng | Web: Hiếu</t>
  </si>
  <si>
    <t>Chỉnh sửa thông tin, đang phát hành/hoàn thành</t>
  </si>
  <si>
    <t>Gán thể loại cho truyện</t>
  </si>
  <si>
    <t>API: Anh | Web: Hiếu</t>
  </si>
  <si>
    <t>Một truyện có nhiều thể loại</t>
  </si>
  <si>
    <t>Tạo hoặc tải lên chương</t>
  </si>
  <si>
    <t>Nội dung, tên và thứ tự chương</t>
  </si>
  <si>
    <t>Chỉnh sửa chương</t>
  </si>
  <si>
    <t>API: Hoàng | Web: Hiếu, Vy</t>
  </si>
  <si>
    <t>Cập nhật đúng chương của truyện</t>
  </si>
  <si>
    <t>Thiết lập miễn phí và trả phí</t>
  </si>
  <si>
    <t>Chương trả phí bị chặn khi chưa có quyền</t>
  </si>
  <si>
    <t>Xem thông tin và danh sách chương</t>
  </si>
  <si>
    <t>Hiển thị thứ tự và trạng thái truy cập</t>
  </si>
  <si>
    <t>API: Anh | Web: Vy | Mobile: Danh</t>
  </si>
  <si>
    <t>Đọc và chuyển chương trên Web/Mobile</t>
  </si>
  <si>
    <t>Tổng Sprint 1</t>
  </si>
  <si>
    <t>Sprint 2 | Tuần 3–4 (28/09/2026 – 09/10/2026) | Mục tiêu: Gói đọc, thanh toán và kiểm soát quyền đọc chương trả phí</t>
  </si>
  <si>
    <t>Thiết lập giá mua truyện</t>
  </si>
  <si>
    <t>API: Hoàng | Web: Vy</t>
  </si>
  <si>
    <t>Lưu giá áp dụng tại thời điểm giao dịch</t>
  </si>
  <si>
    <t>Tạo gói đọc theo tháng</t>
  </si>
  <si>
    <t>Tên, phí, thời hạn và phạm vi truyện</t>
  </si>
  <si>
    <t>Cập nhật và ngừng cung cấp gói</t>
  </si>
  <si>
    <t>Bảo toàn lịch sử và xử lý quyền theo chính sách</t>
  </si>
  <si>
    <t>Đăng ký và thanh toán gói đọc</t>
  </si>
  <si>
    <t>Chỉ kích hoạt sau xác nhận thanh toán thành công</t>
  </si>
  <si>
    <t>API: Hoàng | Web: Vy | Mobile: Danh</t>
  </si>
  <si>
    <t>Thống nhất quy tắc gia hạn sớm/muộn</t>
  </si>
  <si>
    <t>Mua quyền đọc riêng một truyện</t>
  </si>
  <si>
    <t>Quyền mua độc lập với gói tháng</t>
  </si>
  <si>
    <t>Kiểm tra quyền và đọc chương trả phí</t>
  </si>
  <si>
    <t>Kiểm tra gói còn hạn hoặc quyền mua riêng tại API</t>
  </si>
  <si>
    <t>Xử lý gói hết hạn</t>
  </si>
  <si>
    <t>API: Hoàng</t>
  </si>
  <si>
    <t>Hết quyền gói vẫn giữ quyền mua riêng hợp lệ</t>
  </si>
  <si>
    <t>Không cấp quyền khi thanh toán chưa thành công</t>
  </si>
  <si>
    <t>Xử lý chờ, hủy, thất bại và thông báo thanh toán lặp</t>
  </si>
  <si>
    <t>Khôi phục quyền khi giao dịch thành công bị lỗi cập nhật</t>
  </si>
  <si>
    <t>Xử lý lại không thu thêm tiền hoặc cấp quyền trùng</t>
  </si>
  <si>
    <t>API: Hoàng | Web: Hiếu | Mobile: Danh</t>
  </si>
  <si>
    <t>Hiển thị giao dịch, số tiền, thời gian và trạng thái</t>
  </si>
  <si>
    <t>Xem truyện đã mua và gói đang sử dụng</t>
  </si>
  <si>
    <t>Hiển thị quyền đọc và hạn gói của tài khoản</t>
  </si>
  <si>
    <t>Tổng Sprint 2</t>
  </si>
  <si>
    <t>Sprint 3 | Tuần 5–6 (12/10/2026 – 23/10/2026) | Mục tiêu: Phát hành chương, tìm kiếm – khám phá, tiến độ đọc, theo dõi – thông báo, thảo luận, quản lý thành viên</t>
  </si>
  <si>
    <t>Chương chưa công bố không được truy cập</t>
  </si>
  <si>
    <t>Tìm kiếm truyện</t>
  </si>
  <si>
    <t>Theo tên, tác giả và thể loại</t>
  </si>
  <si>
    <t>Ghi nhận lượt đọc</t>
  </si>
  <si>
    <t>API: Anh</t>
  </si>
  <si>
    <t>Ghi theo truyện/chương và thời điểm</t>
  </si>
  <si>
    <t>Duyệt danh sách khám phá</t>
  </si>
  <si>
    <t>Truyện mới, mới cập nhật và đọc nhiều</t>
  </si>
  <si>
    <t>Đồng bộ tiến độ Web/Mobile</t>
  </si>
  <si>
    <t>Danh sách dựa trên tiến độ đã lưu</t>
  </si>
  <si>
    <t>Theo dõi và bỏ theo dõi truyện</t>
  </si>
  <si>
    <t>Danh sách quan tâm riêng</t>
  </si>
  <si>
    <t>Thông báo chương mới</t>
  </si>
  <si>
    <t>Thông báo khi chương được công bố</t>
  </si>
  <si>
    <t>Xem danh sách và tình trạng thành viên</t>
  </si>
  <si>
    <t>Chức năng Web Admin</t>
  </si>
  <si>
    <t>Hạn chế và tạm ngừng tài khoản</t>
  </si>
  <si>
    <t>Backend thực thi hạn chế với tài khoản</t>
  </si>
  <si>
    <t>Xem và đăng thảo luận theo chương</t>
  </si>
  <si>
    <t>Gắn đúng chương, kiểm tra trạng thái tài khoản</t>
  </si>
  <si>
    <t>Báo cáo nội dung vi phạm</t>
  </si>
  <si>
    <t>Ghi nội dung bị báo cáo và lý do</t>
  </si>
  <si>
    <t>Kiểm duyệt thảo luận và báo cáo</t>
  </si>
  <si>
    <t>Admin xử lý nội dung và cập nhật kết quả</t>
  </si>
  <si>
    <t>Tổng Sprint 3</t>
  </si>
  <si>
    <t>Sprint 4 | Tuần 7–8 (26/10/2026 – 06/11/2026) | Mục tiêu: Thống kê, kiểm thử tích hợp Web – Mobile và bàn giao</t>
  </si>
  <si>
    <t>Thống kê thành viên và giao dịch</t>
  </si>
  <si>
    <t>Thành viên, đăng ký, gia hạn, mua truyện, trạng thái giao dịch</t>
  </si>
  <si>
    <t>Thống kê doanh thu gói</t>
  </si>
  <si>
    <t>Theo loại gói và thời gian; đối chiếu giao dịch thành công</t>
  </si>
  <si>
    <t>Thống kê doanh thu truyện</t>
  </si>
  <si>
    <t>Lượt mua và doanh thu từng truyện, tổng doanh thu</t>
  </si>
  <si>
    <t>Thống kê mức độ quan tâm nội dung</t>
  </si>
  <si>
    <t>Lượt đọc, theo dõi, mua, thảo luận và thể loại</t>
  </si>
  <si>
    <t>Kiểm thử tích hợp Web và Mobile</t>
  </si>
  <si>
    <t>Cả nhóm | Điều phối: Long</t>
  </si>
  <si>
    <t>Kiểm thử xuyên suốt, sửa lỗi và kiểm tra lại</t>
  </si>
  <si>
    <t>TASK-01</t>
  </si>
  <si>
    <t>Triển khai và chuẩn bị dữ liệu demo</t>
  </si>
  <si>
    <t>—</t>
  </si>
  <si>
    <t>Hoàng, Anh</t>
  </si>
  <si>
    <t>Task bàn giao bổ sung; chuẩn bị tài khoản và dữ liệu mẫu</t>
  </si>
  <si>
    <t>TASK-02</t>
  </si>
  <si>
    <t>Hoàn thiện báo cáo và kịch bản trình bày</t>
  </si>
  <si>
    <t>Long, Hiếu, Vy, Danh</t>
  </si>
  <si>
    <t>Task đồ án bổ sung; báo cáo, hướng dẫn chạy và slide</t>
  </si>
  <si>
    <t>Tổng Sprint 4</t>
  </si>
  <si>
    <t>Không tính TASK-01, TASK-02 (bàn giao bổ sung, không có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</si>
</sst>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0.0"/>
  </numFmts>
  <fonts count="10" x14ac:knownFonts="1">
    <font>
      <sz val="10"/>
      <color rgb="FF000000"/>
      <name val="Arial"/>
      <charset val="1"/>
    </font>
    <font>
      <b/>
      <sz val="14"/>
      <name val="Arial"/>
      <charset val="1"/>
    </font>
    <font>
      <b/>
      <sz val="10"/>
      <name val="Arial"/>
      <charset val="1"/>
    </font>
    <font>
      <b/>
      <sz val="9"/>
      <name val="Arial"/>
      <charset val="1"/>
    </font>
    <font>
      <sz val="10"/>
      <name val="Arial"/>
      <charset val="1"/>
    </font>
    <font>
      <i/>
      <sz val="9"/>
      <name val="Arial"/>
      <charset val="1"/>
    </font>
    <font>
      <sz val="10"/>
      <color theme="1"/>
      <name val="Arial"/>
      <charset val="1"/>
    </font>
    <font>
      <b/>
      <sz val="10"/>
      <color rgb="FF0000FF"/>
      <name val="Arial"/>
      <charset val="1"/>
    </font>
    <font>
      <b/>
      <sz val="10"/>
      <color theme="1"/>
      <name val="Arial"/>
      <charset val="1"/>
    </font>
    <font>
      <b/>
      <sz val="10"/>
      <color theme="0"/>
      <name val="Arial"/>
      <charset val="1"/>
    </font>
  </fonts>
  <fills count="10">
    <fill>
      <patternFill patternType="none"/>
    </fill>
    <fill>
      <patternFill patternType="gray125"/>
    </fill>
    <fill>
      <patternFill patternType="solid">
        <fgColor rgb="FFD8D8D8"/>
        <bgColor rgb="FFC6E0B4"/>
      </patternFill>
    </fill>
    <fill>
      <patternFill patternType="solid">
        <fgColor rgb="FFFFF2CC"/>
        <bgColor rgb="FFFFE699"/>
      </patternFill>
    </fill>
    <fill>
      <patternFill patternType="solid">
        <fgColor rgb="FFCCFFFF"/>
        <bgColor rgb="FFCCFFFF"/>
      </patternFill>
    </fill>
    <fill>
      <patternFill patternType="solid">
        <fgColor rgb="FFF8CBAD"/>
        <bgColor rgb="FFFFE699"/>
      </patternFill>
    </fill>
    <fill>
      <patternFill patternType="solid">
        <fgColor rgb="FFC6E0B4"/>
        <bgColor rgb="FFD8D8D8"/>
      </patternFill>
    </fill>
    <fill>
      <patternFill patternType="solid">
        <fgColor rgb="FFFFE699"/>
        <bgColor rgb="FFFFF2CC"/>
      </patternFill>
    </fill>
    <fill>
      <patternFill patternType="solid">
        <fgColor rgb="FFFFFF00"/>
        <bgColor rgb="FFFFFF00"/>
      </patternFill>
    </fill>
    <fill>
      <patternFill patternType="solid">
        <fgColor rgb="FF0C0C0C"/>
        <bgColor rgb="FF000000"/>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diagonal/>
    </border>
    <border>
      <left style="thin">
        <color auto="1"/>
      </left>
      <right style="thin">
        <color auto="1"/>
      </right>
      <top/>
      <bottom/>
      <diagonal/>
    </border>
  </borders>
  <cellStyleXfs count="1">
    <xf numFmtId="0" fontId="0" fillId="0" borderId="0"/>
  </cellStyleXfs>
  <cellXfs count="40">
    <xf numFmtId="0" fontId="0" fillId="0" borderId="0" xfId="0"/>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1" xfId="0" applyFont="1" applyFill="1" applyBorder="1" applyAlignment="1">
      <alignment horizontal="right"/>
    </xf>
    <xf numFmtId="0" fontId="3" fillId="3" borderId="1" xfId="0" applyFont="1" applyFill="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right" vertical="center"/>
    </xf>
    <xf numFmtId="16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6" fillId="0" borderId="3" xfId="0" applyFont="1" applyBorder="1"/>
    <xf numFmtId="0" fontId="6" fillId="0" borderId="0" xfId="0" applyFont="1"/>
    <xf numFmtId="0" fontId="6" fillId="0" borderId="4" xfId="0" applyFont="1" applyBorder="1"/>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3" fontId="4" fillId="0" borderId="1" xfId="0" applyNumberFormat="1" applyFont="1" applyBorder="1" applyAlignment="1">
      <alignment horizontal="right" vertical="center"/>
    </xf>
    <xf numFmtId="9" fontId="4" fillId="0" borderId="1" xfId="0" applyNumberFormat="1" applyFont="1" applyBorder="1" applyAlignment="1">
      <alignment vertical="center" wrapText="1"/>
    </xf>
    <xf numFmtId="0" fontId="4" fillId="7" borderId="1" xfId="0" applyFont="1" applyFill="1" applyBorder="1" applyAlignment="1">
      <alignment horizontal="center" vertical="center" wrapText="1"/>
    </xf>
    <xf numFmtId="3" fontId="7" fillId="8" borderId="1" xfId="0" applyNumberFormat="1" applyFont="1" applyFill="1" applyBorder="1" applyAlignment="1">
      <alignment horizontal="right"/>
    </xf>
    <xf numFmtId="3" fontId="2" fillId="3" borderId="1" xfId="0" applyNumberFormat="1" applyFont="1" applyFill="1" applyBorder="1" applyAlignment="1">
      <alignment horizontal="right"/>
    </xf>
    <xf numFmtId="165" fontId="2" fillId="3" borderId="1" xfId="0" applyNumberFormat="1" applyFont="1" applyFill="1" applyBorder="1" applyAlignment="1">
      <alignment horizontal="right"/>
    </xf>
    <xf numFmtId="0" fontId="2" fillId="2" borderId="1" xfId="0" applyFont="1" applyFill="1" applyBorder="1" applyAlignment="1">
      <alignment vertical="center" wrapText="1"/>
    </xf>
    <xf numFmtId="0" fontId="4" fillId="5" borderId="1" xfId="0" applyFont="1" applyFill="1" applyBorder="1" applyAlignment="1">
      <alignment vertical="center" wrapText="1"/>
    </xf>
    <xf numFmtId="0" fontId="4" fillId="0" borderId="1" xfId="0" applyFont="1" applyBorder="1" applyAlignment="1">
      <alignment horizontal="right"/>
    </xf>
    <xf numFmtId="0" fontId="4" fillId="7" borderId="1" xfId="0" applyFont="1" applyFill="1" applyBorder="1" applyAlignment="1">
      <alignment vertical="center" wrapText="1"/>
    </xf>
    <xf numFmtId="0" fontId="4" fillId="6" borderId="1" xfId="0" applyFont="1" applyFill="1" applyBorder="1" applyAlignment="1">
      <alignment vertical="center" wrapText="1"/>
    </xf>
    <xf numFmtId="0" fontId="9" fillId="9" borderId="1" xfId="0" applyFont="1" applyFill="1" applyBorder="1"/>
    <xf numFmtId="0" fontId="4" fillId="0" borderId="1" xfId="0" applyFont="1" applyBorder="1" applyAlignment="1">
      <alignment horizontal="center" vertical="center"/>
    </xf>
    <xf numFmtId="0" fontId="4" fillId="0" borderId="1" xfId="0" applyFont="1" applyBorder="1" applyAlignment="1">
      <alignment horizontal="left" vertical="center"/>
    </xf>
    <xf numFmtId="164" fontId="4" fillId="0" borderId="1" xfId="0" applyNumberFormat="1" applyFont="1" applyBorder="1" applyAlignment="1">
      <alignment horizontal="left" vertical="center"/>
    </xf>
    <xf numFmtId="0" fontId="8" fillId="0" borderId="0" xfId="0" applyFont="1"/>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vertical="center" wrapText="1"/>
    </xf>
    <xf numFmtId="0" fontId="8" fillId="0" borderId="0" xfId="0"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horizontal="center"/>
    </xf>
    <xf numFmtId="0" fontId="5" fillId="0" borderId="0" xfId="0" applyFont="1" applyAlignment="1">
      <alignment vertical="center" wrapText="1"/>
    </xf>
    <xf numFmtId="0" fontId="2" fillId="4" borderId="1" xfId="0" applyFont="1" applyFill="1" applyBorder="1" applyAlignment="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6E0B4"/>
      <rgbColor rgb="00808080"/>
      <rgbColor rgb="009999FF"/>
      <rgbColor rgb="00993366"/>
      <rgbColor rgb="00FFF2CC"/>
      <rgbColor rgb="00CCFFFF"/>
      <rgbColor rgb="00660066"/>
      <rgbColor rgb="00FF8080"/>
      <rgbColor rgb="000066CC"/>
      <rgbColor rgb="00D8D8D8"/>
      <rgbColor rgb="00000080"/>
      <rgbColor rgb="00FF00FF"/>
      <rgbColor rgb="00FFFF00"/>
      <rgbColor rgb="0000FFFF"/>
      <rgbColor rgb="00800080"/>
      <rgbColor rgb="00800000"/>
      <rgbColor rgb="00008080"/>
      <rgbColor rgb="000000FF"/>
      <rgbColor rgb="0000CCFF"/>
      <rgbColor rgb="00CCFFFF"/>
      <rgbColor rgb="00CCFFCC"/>
      <rgbColor rgb="00FFE699"/>
      <rgbColor rgb="0099CCFF"/>
      <rgbColor rgb="00FF99CC"/>
      <rgbColor rgb="00CC99FF"/>
      <rgbColor rgb="00F8CBAD"/>
      <rgbColor rgb="003366FF"/>
      <rgbColor rgb="0033CCCC"/>
      <rgbColor rgb="0099CC00"/>
      <rgbColor rgb="00FFCC00"/>
      <rgbColor rgb="00FF9900"/>
      <rgbColor rgb="00FF6600"/>
      <rgbColor rgb="00666699"/>
      <rgbColor rgb="00969696"/>
      <rgbColor rgb="00003366"/>
      <rgbColor rgb="00339966"/>
      <rgbColor rgb="000C0C0C"/>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Backlog-nhom05-03%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Information"/>
      <sheetName val="Team"/>
      <sheetName val="Product backlog"/>
      <sheetName val="Sprint backlog"/>
    </sheetNames>
    <sheetDataSet>
      <sheetData sheetId="0"/>
      <sheetData sheetId="1"/>
      <sheetData sheetId="2">
        <row r="5">
          <cell r="A5" t="str">
            <v>1. Tài khoản và phân quyền</v>
          </cell>
        </row>
        <row r="6">
          <cell r="A6" t="str">
            <v>PB01</v>
          </cell>
          <cell r="C6">
            <v>3</v>
          </cell>
        </row>
        <row r="7">
          <cell r="A7" t="str">
            <v>PB02</v>
          </cell>
          <cell r="C7">
            <v>5</v>
          </cell>
        </row>
        <row r="8">
          <cell r="A8" t="str">
            <v>PB03</v>
          </cell>
          <cell r="C8">
            <v>5</v>
          </cell>
        </row>
        <row r="9">
          <cell r="A9" t="str">
            <v>2. Quản lý truyện và chương</v>
          </cell>
        </row>
        <row r="10">
          <cell r="A10" t="str">
            <v>PB04</v>
          </cell>
          <cell r="C10">
            <v>3</v>
          </cell>
        </row>
        <row r="11">
          <cell r="A11" t="str">
            <v>PB05</v>
          </cell>
          <cell r="C11">
            <v>3</v>
          </cell>
        </row>
        <row r="12">
          <cell r="A12" t="str">
            <v>PB06</v>
          </cell>
          <cell r="C12">
            <v>2</v>
          </cell>
        </row>
        <row r="13">
          <cell r="A13" t="str">
            <v>PB07</v>
          </cell>
          <cell r="C13">
            <v>5</v>
          </cell>
        </row>
        <row r="14">
          <cell r="A14" t="str">
            <v>PB08</v>
          </cell>
          <cell r="C14">
            <v>3</v>
          </cell>
        </row>
        <row r="15">
          <cell r="A15" t="str">
            <v>PB09</v>
          </cell>
          <cell r="C15">
            <v>5</v>
          </cell>
        </row>
        <row r="16">
          <cell r="A16" t="str">
            <v>3. Chính sách truy cập và trải nghiệm đọc</v>
          </cell>
        </row>
        <row r="17">
          <cell r="A17" t="str">
            <v>PB10</v>
          </cell>
          <cell r="C17">
            <v>5</v>
          </cell>
        </row>
        <row r="18">
          <cell r="A18" t="str">
            <v>PB11</v>
          </cell>
          <cell r="C18">
            <v>3</v>
          </cell>
        </row>
        <row r="19">
          <cell r="A19" t="str">
            <v>PB12</v>
          </cell>
          <cell r="C19">
            <v>5</v>
          </cell>
        </row>
        <row r="20">
          <cell r="A20" t="str">
            <v>PB13</v>
          </cell>
          <cell r="C20">
            <v>3</v>
          </cell>
        </row>
        <row r="21">
          <cell r="A21" t="str">
            <v>PB14</v>
          </cell>
          <cell r="C21">
            <v>3</v>
          </cell>
        </row>
        <row r="22">
          <cell r="A22" t="str">
            <v>PB15</v>
          </cell>
          <cell r="C22">
            <v>3</v>
          </cell>
        </row>
        <row r="23">
          <cell r="A23" t="str">
            <v>4. Quản lý giá và gói dịch vụ</v>
          </cell>
        </row>
        <row r="24">
          <cell r="A24" t="str">
            <v>PB16</v>
          </cell>
          <cell r="C24">
            <v>3</v>
          </cell>
        </row>
        <row r="25">
          <cell r="A25" t="str">
            <v>PB17</v>
          </cell>
          <cell r="C25">
            <v>3</v>
          </cell>
        </row>
        <row r="26">
          <cell r="A26" t="str">
            <v>PB18</v>
          </cell>
          <cell r="C26">
            <v>3</v>
          </cell>
        </row>
        <row r="27">
          <cell r="A27" t="str">
            <v>5. Thanh toán và quyền đọc</v>
          </cell>
        </row>
        <row r="28">
          <cell r="A28" t="str">
            <v>PB19</v>
          </cell>
          <cell r="C28">
            <v>8</v>
          </cell>
        </row>
        <row r="29">
          <cell r="A29" t="str">
            <v>PB20</v>
          </cell>
          <cell r="C29">
            <v>5</v>
          </cell>
        </row>
        <row r="30">
          <cell r="A30" t="str">
            <v>PB21</v>
          </cell>
          <cell r="C30">
            <v>5</v>
          </cell>
        </row>
        <row r="31">
          <cell r="A31" t="str">
            <v>PB22</v>
          </cell>
          <cell r="C31">
            <v>8</v>
          </cell>
        </row>
        <row r="32">
          <cell r="A32" t="str">
            <v>PB23</v>
          </cell>
          <cell r="C32">
            <v>3</v>
          </cell>
        </row>
        <row r="33">
          <cell r="A33" t="str">
            <v>PB24</v>
          </cell>
          <cell r="C33">
            <v>5</v>
          </cell>
        </row>
        <row r="34">
          <cell r="A34" t="str">
            <v>PB25</v>
          </cell>
          <cell r="C34">
            <v>5</v>
          </cell>
        </row>
        <row r="35">
          <cell r="A35" t="str">
            <v>PB26</v>
          </cell>
          <cell r="C35">
            <v>3</v>
          </cell>
        </row>
        <row r="36">
          <cell r="A36" t="str">
            <v>PB27</v>
          </cell>
          <cell r="C36">
            <v>3</v>
          </cell>
        </row>
        <row r="37">
          <cell r="A37" t="str">
            <v>6. Quản lý quá trình đọc và thông báo</v>
          </cell>
        </row>
        <row r="38">
          <cell r="A38" t="str">
            <v>PB28</v>
          </cell>
          <cell r="C38">
            <v>5</v>
          </cell>
        </row>
        <row r="39">
          <cell r="A39" t="str">
            <v>PB29</v>
          </cell>
          <cell r="C39">
            <v>2</v>
          </cell>
        </row>
        <row r="40">
          <cell r="A40" t="str">
            <v>PB30</v>
          </cell>
          <cell r="C40">
            <v>3</v>
          </cell>
        </row>
        <row r="41">
          <cell r="A41" t="str">
            <v>PB31</v>
          </cell>
          <cell r="C41">
            <v>5</v>
          </cell>
        </row>
        <row r="42">
          <cell r="A42" t="str">
            <v>7. Thảo luận và kiểm duyệt</v>
          </cell>
        </row>
        <row r="43">
          <cell r="A43" t="str">
            <v>PB32</v>
          </cell>
          <cell r="C43">
            <v>5</v>
          </cell>
        </row>
        <row r="44">
          <cell r="A44" t="str">
            <v>PB33</v>
          </cell>
          <cell r="C44">
            <v>3</v>
          </cell>
        </row>
        <row r="45">
          <cell r="A45" t="str">
            <v>PB34</v>
          </cell>
          <cell r="C45">
            <v>3</v>
          </cell>
        </row>
        <row r="46">
          <cell r="A46" t="str">
            <v>8. Quản lý thành viên</v>
          </cell>
        </row>
        <row r="47">
          <cell r="A47" t="str">
            <v>PB35</v>
          </cell>
          <cell r="C47">
            <v>3</v>
          </cell>
        </row>
        <row r="48">
          <cell r="A48" t="str">
            <v>PB36</v>
          </cell>
          <cell r="C48">
            <v>3</v>
          </cell>
        </row>
        <row r="49">
          <cell r="A49" t="str">
            <v>9. Thống kê và báo cáo</v>
          </cell>
        </row>
        <row r="50">
          <cell r="A50" t="str">
            <v>PB37</v>
          </cell>
          <cell r="C50">
            <v>5</v>
          </cell>
        </row>
        <row r="51">
          <cell r="A51" t="str">
            <v>PB38</v>
          </cell>
          <cell r="C51">
            <v>5</v>
          </cell>
        </row>
        <row r="52">
          <cell r="A52" t="str">
            <v>PB39</v>
          </cell>
          <cell r="C52">
            <v>5</v>
          </cell>
        </row>
        <row r="53">
          <cell r="A53" t="str">
            <v>PB40</v>
          </cell>
          <cell r="C53">
            <v>5</v>
          </cell>
        </row>
        <row r="54">
          <cell r="A54" t="str">
            <v>10. Nền tảng kỹ thuật và tích hợp</v>
          </cell>
        </row>
        <row r="55">
          <cell r="A55" t="str">
            <v>PB41</v>
          </cell>
          <cell r="C55">
            <v>5</v>
          </cell>
        </row>
        <row r="56">
          <cell r="A56" t="str">
            <v>PB42</v>
          </cell>
          <cell r="C56">
            <v>8</v>
          </cell>
        </row>
        <row r="58">
          <cell r="C58">
            <v>175</v>
          </cell>
        </row>
      </sheetData>
      <sheetData sheetId="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tabSelected="1" workbookViewId="0">
      <selection activeCell="D2" sqref="D2"/>
    </sheetView>
  </sheetViews>
  <sheetFormatPr defaultColWidth="12.6640625" defaultRowHeight="13.2" x14ac:dyDescent="0.25"/>
  <cols>
    <col min="1" max="26" width="8.88671875" customWidth="1"/>
  </cols>
  <sheetData>
    <row r="1" spans="1:22" ht="12.75" customHeight="1" x14ac:dyDescent="0.25"/>
    <row r="2" spans="1:22" ht="12.75" customHeight="1" x14ac:dyDescent="0.25">
      <c r="A2" s="31" t="s">
        <v>0</v>
      </c>
    </row>
    <row r="3" spans="1:22" ht="12.75" customHeight="1" x14ac:dyDescent="0.25">
      <c r="A3" s="35" t="s">
        <v>1</v>
      </c>
      <c r="B3" s="36"/>
      <c r="C3" s="36"/>
      <c r="D3" s="36"/>
      <c r="E3" s="36"/>
      <c r="F3" s="36"/>
      <c r="G3" s="36"/>
      <c r="H3" s="36"/>
      <c r="I3" s="36"/>
      <c r="J3" s="36"/>
      <c r="K3" s="36"/>
      <c r="L3" s="36"/>
      <c r="M3" s="36"/>
      <c r="N3" s="36"/>
      <c r="O3" s="36"/>
      <c r="P3" s="36"/>
      <c r="Q3" s="36"/>
      <c r="R3" s="36"/>
      <c r="S3" s="36"/>
      <c r="T3" s="36"/>
      <c r="U3" s="36"/>
      <c r="V3" s="36"/>
    </row>
    <row r="4" spans="1:22" ht="12.75" customHeight="1" x14ac:dyDescent="0.25">
      <c r="A4" s="36"/>
      <c r="B4" s="36"/>
      <c r="C4" s="36"/>
      <c r="D4" s="36"/>
      <c r="E4" s="36"/>
      <c r="F4" s="36"/>
      <c r="G4" s="36"/>
      <c r="H4" s="36"/>
      <c r="I4" s="36"/>
      <c r="J4" s="36"/>
      <c r="K4" s="36"/>
      <c r="L4" s="36"/>
      <c r="M4" s="36"/>
      <c r="N4" s="36"/>
      <c r="O4" s="36"/>
      <c r="P4" s="36"/>
      <c r="Q4" s="36"/>
      <c r="R4" s="36"/>
      <c r="S4" s="36"/>
      <c r="T4" s="36"/>
      <c r="U4" s="36"/>
      <c r="V4" s="36"/>
    </row>
    <row r="5" spans="1:22" ht="12.75" customHeight="1" x14ac:dyDescent="0.25">
      <c r="A5" s="36"/>
      <c r="B5" s="36"/>
      <c r="C5" s="36"/>
      <c r="D5" s="36"/>
      <c r="E5" s="36"/>
      <c r="F5" s="36"/>
      <c r="G5" s="36"/>
      <c r="H5" s="36"/>
      <c r="I5" s="36"/>
      <c r="J5" s="36"/>
      <c r="K5" s="36"/>
      <c r="L5" s="36"/>
      <c r="M5" s="36"/>
      <c r="N5" s="36"/>
      <c r="O5" s="36"/>
      <c r="P5" s="36"/>
      <c r="Q5" s="36"/>
      <c r="R5" s="36"/>
      <c r="S5" s="36"/>
      <c r="T5" s="36"/>
      <c r="U5" s="36"/>
      <c r="V5" s="36"/>
    </row>
    <row r="6" spans="1:22" ht="12.75" customHeight="1" x14ac:dyDescent="0.25">
      <c r="A6" s="36"/>
      <c r="B6" s="36"/>
      <c r="C6" s="36"/>
      <c r="D6" s="36"/>
      <c r="E6" s="36"/>
      <c r="F6" s="36"/>
      <c r="G6" s="36"/>
      <c r="H6" s="36"/>
      <c r="I6" s="36"/>
      <c r="J6" s="36"/>
      <c r="K6" s="36"/>
      <c r="L6" s="36"/>
      <c r="M6" s="36"/>
      <c r="N6" s="36"/>
      <c r="O6" s="36"/>
      <c r="P6" s="36"/>
      <c r="Q6" s="36"/>
      <c r="R6" s="36"/>
      <c r="S6" s="36"/>
      <c r="T6" s="36"/>
      <c r="U6" s="36"/>
      <c r="V6" s="36"/>
    </row>
    <row r="7" spans="1:22" ht="12.75" customHeight="1" x14ac:dyDescent="0.25">
      <c r="A7" s="36"/>
      <c r="B7" s="36"/>
      <c r="C7" s="36"/>
      <c r="D7" s="36"/>
      <c r="E7" s="36"/>
      <c r="F7" s="36"/>
      <c r="G7" s="36"/>
      <c r="H7" s="36"/>
      <c r="I7" s="36"/>
      <c r="J7" s="36"/>
      <c r="K7" s="36"/>
      <c r="L7" s="36"/>
      <c r="M7" s="36"/>
      <c r="N7" s="36"/>
      <c r="O7" s="36"/>
      <c r="P7" s="36"/>
      <c r="Q7" s="36"/>
      <c r="R7" s="36"/>
      <c r="S7" s="36"/>
      <c r="T7" s="36"/>
      <c r="U7" s="36"/>
      <c r="V7" s="36"/>
    </row>
    <row r="8" spans="1:22" ht="12.75" customHeight="1" x14ac:dyDescent="0.25">
      <c r="A8" s="36"/>
      <c r="B8" s="36"/>
      <c r="C8" s="36"/>
      <c r="D8" s="36"/>
      <c r="E8" s="36"/>
      <c r="F8" s="36"/>
      <c r="G8" s="36"/>
      <c r="H8" s="36"/>
      <c r="I8" s="36"/>
      <c r="J8" s="36"/>
      <c r="K8" s="36"/>
      <c r="L8" s="36"/>
      <c r="M8" s="36"/>
      <c r="N8" s="36"/>
      <c r="O8" s="36"/>
      <c r="P8" s="36"/>
      <c r="Q8" s="36"/>
      <c r="R8" s="36"/>
      <c r="S8" s="36"/>
      <c r="T8" s="36"/>
      <c r="U8" s="36"/>
      <c r="V8" s="36"/>
    </row>
    <row r="9" spans="1:22" ht="12.75" customHeight="1" x14ac:dyDescent="0.25">
      <c r="A9" s="36"/>
      <c r="B9" s="36"/>
      <c r="C9" s="36"/>
      <c r="D9" s="36"/>
      <c r="E9" s="36"/>
      <c r="F9" s="36"/>
      <c r="G9" s="36"/>
      <c r="H9" s="36"/>
      <c r="I9" s="36"/>
      <c r="J9" s="36"/>
      <c r="K9" s="36"/>
      <c r="L9" s="36"/>
      <c r="M9" s="36"/>
      <c r="N9" s="36"/>
      <c r="O9" s="36"/>
      <c r="P9" s="36"/>
      <c r="Q9" s="36"/>
      <c r="R9" s="36"/>
      <c r="S9" s="36"/>
      <c r="T9" s="36"/>
      <c r="U9" s="36"/>
      <c r="V9" s="36"/>
    </row>
    <row r="10" spans="1:22" ht="12.75" customHeight="1" x14ac:dyDescent="0.25">
      <c r="A10" s="36"/>
      <c r="B10" s="36"/>
      <c r="C10" s="36"/>
      <c r="D10" s="36"/>
      <c r="E10" s="36"/>
      <c r="F10" s="36"/>
      <c r="G10" s="36"/>
      <c r="H10" s="36"/>
      <c r="I10" s="36"/>
      <c r="J10" s="36"/>
      <c r="K10" s="36"/>
      <c r="L10" s="36"/>
      <c r="M10" s="36"/>
      <c r="N10" s="36"/>
      <c r="O10" s="36"/>
      <c r="P10" s="36"/>
      <c r="Q10" s="36"/>
      <c r="R10" s="36"/>
      <c r="S10" s="36"/>
      <c r="T10" s="36"/>
      <c r="U10" s="36"/>
      <c r="V10" s="36"/>
    </row>
    <row r="11" spans="1:22" ht="12.75" customHeight="1" x14ac:dyDescent="0.25">
      <c r="A11" s="36"/>
      <c r="B11" s="36"/>
      <c r="C11" s="36"/>
      <c r="D11" s="36"/>
      <c r="E11" s="36"/>
      <c r="F11" s="36"/>
      <c r="G11" s="36"/>
      <c r="H11" s="36"/>
      <c r="I11" s="36"/>
      <c r="J11" s="36"/>
      <c r="K11" s="36"/>
      <c r="L11" s="36"/>
      <c r="M11" s="36"/>
      <c r="N11" s="36"/>
      <c r="O11" s="36"/>
      <c r="P11" s="36"/>
      <c r="Q11" s="36"/>
      <c r="R11" s="36"/>
      <c r="S11" s="36"/>
      <c r="T11" s="36"/>
      <c r="U11" s="36"/>
      <c r="V11" s="36"/>
    </row>
    <row r="12" spans="1:22" ht="12.75" customHeight="1" x14ac:dyDescent="0.25">
      <c r="A12" s="36"/>
      <c r="B12" s="36"/>
      <c r="C12" s="36"/>
      <c r="D12" s="36"/>
      <c r="E12" s="36"/>
      <c r="F12" s="36"/>
      <c r="G12" s="36"/>
      <c r="H12" s="36"/>
      <c r="I12" s="36"/>
      <c r="J12" s="36"/>
      <c r="K12" s="36"/>
      <c r="L12" s="36"/>
      <c r="M12" s="36"/>
      <c r="N12" s="36"/>
      <c r="O12" s="36"/>
      <c r="P12" s="36"/>
      <c r="Q12" s="36"/>
      <c r="R12" s="36"/>
      <c r="S12" s="36"/>
      <c r="T12" s="36"/>
      <c r="U12" s="36"/>
      <c r="V12" s="36"/>
    </row>
    <row r="13" spans="1:22" ht="12.75" customHeight="1" x14ac:dyDescent="0.25">
      <c r="A13" s="36"/>
      <c r="B13" s="36"/>
      <c r="C13" s="36"/>
      <c r="D13" s="36"/>
      <c r="E13" s="36"/>
      <c r="F13" s="36"/>
      <c r="G13" s="36"/>
      <c r="H13" s="36"/>
      <c r="I13" s="36"/>
      <c r="J13" s="36"/>
      <c r="K13" s="36"/>
      <c r="L13" s="36"/>
      <c r="M13" s="36"/>
      <c r="N13" s="36"/>
      <c r="O13" s="36"/>
      <c r="P13" s="36"/>
      <c r="Q13" s="36"/>
      <c r="R13" s="36"/>
      <c r="S13" s="36"/>
      <c r="T13" s="36"/>
      <c r="U13" s="36"/>
      <c r="V13" s="36"/>
    </row>
    <row r="14" spans="1:22" ht="12.75" customHeight="1" x14ac:dyDescent="0.25">
      <c r="A14" s="36"/>
      <c r="B14" s="36"/>
      <c r="C14" s="36"/>
      <c r="D14" s="36"/>
      <c r="E14" s="36"/>
      <c r="F14" s="36"/>
      <c r="G14" s="36"/>
      <c r="H14" s="36"/>
      <c r="I14" s="36"/>
      <c r="J14" s="36"/>
      <c r="K14" s="36"/>
      <c r="L14" s="36"/>
      <c r="M14" s="36"/>
      <c r="N14" s="36"/>
      <c r="O14" s="36"/>
      <c r="P14" s="36"/>
      <c r="Q14" s="36"/>
      <c r="R14" s="36"/>
      <c r="S14" s="36"/>
      <c r="T14" s="36"/>
      <c r="U14" s="36"/>
      <c r="V14" s="36"/>
    </row>
    <row r="15" spans="1:22" ht="12.75" customHeight="1" x14ac:dyDescent="0.25">
      <c r="A15" s="36"/>
      <c r="B15" s="36"/>
      <c r="C15" s="36"/>
      <c r="D15" s="36"/>
      <c r="E15" s="36"/>
      <c r="F15" s="36"/>
      <c r="G15" s="36"/>
      <c r="H15" s="36"/>
      <c r="I15" s="36"/>
      <c r="J15" s="36"/>
      <c r="K15" s="36"/>
      <c r="L15" s="36"/>
      <c r="M15" s="36"/>
      <c r="N15" s="36"/>
      <c r="O15" s="36"/>
      <c r="P15" s="36"/>
      <c r="Q15" s="36"/>
      <c r="R15" s="36"/>
      <c r="S15" s="36"/>
      <c r="T15" s="36"/>
      <c r="U15" s="36"/>
      <c r="V15" s="36"/>
    </row>
    <row r="16" spans="1:22" ht="12.75" customHeight="1" x14ac:dyDescent="0.25">
      <c r="A16" s="36"/>
      <c r="B16" s="36"/>
      <c r="C16" s="36"/>
      <c r="D16" s="36"/>
      <c r="E16" s="36"/>
      <c r="F16" s="36"/>
      <c r="G16" s="36"/>
      <c r="H16" s="36"/>
      <c r="I16" s="36"/>
      <c r="J16" s="36"/>
      <c r="K16" s="36"/>
      <c r="L16" s="36"/>
      <c r="M16" s="36"/>
      <c r="N16" s="36"/>
      <c r="O16" s="36"/>
      <c r="P16" s="36"/>
      <c r="Q16" s="36"/>
      <c r="R16" s="36"/>
      <c r="S16" s="36"/>
      <c r="T16" s="36"/>
      <c r="U16" s="36"/>
      <c r="V16" s="36"/>
    </row>
    <row r="17" spans="1:22" ht="12.75" customHeight="1" x14ac:dyDescent="0.25">
      <c r="A17" s="36"/>
      <c r="B17" s="36"/>
      <c r="C17" s="36"/>
      <c r="D17" s="36"/>
      <c r="E17" s="36"/>
      <c r="F17" s="36"/>
      <c r="G17" s="36"/>
      <c r="H17" s="36"/>
      <c r="I17" s="36"/>
      <c r="J17" s="36"/>
      <c r="K17" s="36"/>
      <c r="L17" s="36"/>
      <c r="M17" s="36"/>
      <c r="N17" s="36"/>
      <c r="O17" s="36"/>
      <c r="P17" s="36"/>
      <c r="Q17" s="36"/>
      <c r="R17" s="36"/>
      <c r="S17" s="36"/>
      <c r="T17" s="36"/>
      <c r="U17" s="36"/>
      <c r="V17" s="36"/>
    </row>
    <row r="18" spans="1:22" ht="12.75" customHeight="1" x14ac:dyDescent="0.25">
      <c r="A18" s="36"/>
      <c r="B18" s="36"/>
      <c r="C18" s="36"/>
      <c r="D18" s="36"/>
      <c r="E18" s="36"/>
      <c r="F18" s="36"/>
      <c r="G18" s="36"/>
      <c r="H18" s="36"/>
      <c r="I18" s="36"/>
      <c r="J18" s="36"/>
      <c r="K18" s="36"/>
      <c r="L18" s="36"/>
      <c r="M18" s="36"/>
      <c r="N18" s="36"/>
      <c r="O18" s="36"/>
      <c r="P18" s="36"/>
      <c r="Q18" s="36"/>
      <c r="R18" s="36"/>
      <c r="S18" s="36"/>
      <c r="T18" s="36"/>
      <c r="U18" s="36"/>
      <c r="V18" s="36"/>
    </row>
    <row r="19" spans="1:22" ht="12.75" customHeight="1" x14ac:dyDescent="0.25">
      <c r="A19" s="36"/>
      <c r="B19" s="36"/>
      <c r="C19" s="36"/>
      <c r="D19" s="36"/>
      <c r="E19" s="36"/>
      <c r="F19" s="36"/>
      <c r="G19" s="36"/>
      <c r="H19" s="36"/>
      <c r="I19" s="36"/>
      <c r="J19" s="36"/>
      <c r="K19" s="36"/>
      <c r="L19" s="36"/>
      <c r="M19" s="36"/>
      <c r="N19" s="36"/>
      <c r="O19" s="36"/>
      <c r="P19" s="36"/>
      <c r="Q19" s="36"/>
      <c r="R19" s="36"/>
      <c r="S19" s="36"/>
      <c r="T19" s="36"/>
      <c r="U19" s="36"/>
      <c r="V19" s="36"/>
    </row>
    <row r="20" spans="1:22" ht="12.75" customHeight="1" x14ac:dyDescent="0.25">
      <c r="A20" s="36"/>
      <c r="B20" s="36"/>
      <c r="C20" s="36"/>
      <c r="D20" s="36"/>
      <c r="E20" s="36"/>
      <c r="F20" s="36"/>
      <c r="G20" s="36"/>
      <c r="H20" s="36"/>
      <c r="I20" s="36"/>
      <c r="J20" s="36"/>
      <c r="K20" s="36"/>
      <c r="L20" s="36"/>
      <c r="M20" s="36"/>
      <c r="N20" s="36"/>
      <c r="O20" s="36"/>
      <c r="P20" s="36"/>
      <c r="Q20" s="36"/>
      <c r="R20" s="36"/>
      <c r="S20" s="36"/>
      <c r="T20" s="36"/>
      <c r="U20" s="36"/>
      <c r="V20" s="36"/>
    </row>
    <row r="21" spans="1:22" ht="12.75" customHeight="1" x14ac:dyDescent="0.25">
      <c r="A21" s="36"/>
      <c r="B21" s="36"/>
      <c r="C21" s="36"/>
      <c r="D21" s="36"/>
      <c r="E21" s="36"/>
      <c r="F21" s="36"/>
      <c r="G21" s="36"/>
      <c r="H21" s="36"/>
      <c r="I21" s="36"/>
      <c r="J21" s="36"/>
      <c r="K21" s="36"/>
      <c r="L21" s="36"/>
      <c r="M21" s="36"/>
      <c r="N21" s="36"/>
      <c r="O21" s="36"/>
      <c r="P21" s="36"/>
      <c r="Q21" s="36"/>
      <c r="R21" s="36"/>
      <c r="S21" s="36"/>
      <c r="T21" s="36"/>
      <c r="U21" s="36"/>
      <c r="V21" s="36"/>
    </row>
    <row r="22" spans="1:22" ht="12.75" customHeight="1" x14ac:dyDescent="0.25">
      <c r="A22" s="36"/>
      <c r="B22" s="36"/>
      <c r="C22" s="36"/>
      <c r="D22" s="36"/>
      <c r="E22" s="36"/>
      <c r="F22" s="36"/>
      <c r="G22" s="36"/>
      <c r="H22" s="36"/>
      <c r="I22" s="36"/>
      <c r="J22" s="36"/>
      <c r="K22" s="36"/>
      <c r="L22" s="36"/>
      <c r="M22" s="36"/>
      <c r="N22" s="36"/>
      <c r="O22" s="36"/>
      <c r="P22" s="36"/>
      <c r="Q22" s="36"/>
      <c r="R22" s="36"/>
      <c r="S22" s="36"/>
      <c r="T22" s="36"/>
      <c r="U22" s="36"/>
      <c r="V22" s="36"/>
    </row>
    <row r="23" spans="1:22" ht="12.75" customHeight="1" x14ac:dyDescent="0.25">
      <c r="A23" s="36"/>
      <c r="B23" s="36"/>
      <c r="C23" s="36"/>
      <c r="D23" s="36"/>
      <c r="E23" s="36"/>
      <c r="F23" s="36"/>
      <c r="G23" s="36"/>
      <c r="H23" s="36"/>
      <c r="I23" s="36"/>
      <c r="J23" s="36"/>
      <c r="K23" s="36"/>
      <c r="L23" s="36"/>
      <c r="M23" s="36"/>
      <c r="N23" s="36"/>
      <c r="O23" s="36"/>
      <c r="P23" s="36"/>
      <c r="Q23" s="36"/>
      <c r="R23" s="36"/>
      <c r="S23" s="36"/>
      <c r="T23" s="36"/>
      <c r="U23" s="36"/>
      <c r="V23" s="36"/>
    </row>
    <row r="24" spans="1:22" ht="12.75" customHeight="1" x14ac:dyDescent="0.25">
      <c r="A24" s="36"/>
      <c r="B24" s="36"/>
      <c r="C24" s="36"/>
      <c r="D24" s="36"/>
      <c r="E24" s="36"/>
      <c r="F24" s="36"/>
      <c r="G24" s="36"/>
      <c r="H24" s="36"/>
      <c r="I24" s="36"/>
      <c r="J24" s="36"/>
      <c r="K24" s="36"/>
      <c r="L24" s="36"/>
      <c r="M24" s="36"/>
      <c r="N24" s="36"/>
      <c r="O24" s="36"/>
      <c r="P24" s="36"/>
      <c r="Q24" s="36"/>
      <c r="R24" s="36"/>
      <c r="S24" s="36"/>
      <c r="T24" s="36"/>
      <c r="U24" s="36"/>
      <c r="V24" s="36"/>
    </row>
    <row r="25" spans="1:22" ht="12.75" customHeight="1" x14ac:dyDescent="0.25">
      <c r="A25" s="36"/>
      <c r="B25" s="36"/>
      <c r="C25" s="36"/>
      <c r="D25" s="36"/>
      <c r="E25" s="36"/>
      <c r="F25" s="36"/>
      <c r="G25" s="36"/>
      <c r="H25" s="36"/>
      <c r="I25" s="36"/>
      <c r="J25" s="36"/>
      <c r="K25" s="36"/>
      <c r="L25" s="36"/>
      <c r="M25" s="36"/>
      <c r="N25" s="36"/>
      <c r="O25" s="36"/>
      <c r="P25" s="36"/>
      <c r="Q25" s="36"/>
      <c r="R25" s="36"/>
      <c r="S25" s="36"/>
      <c r="T25" s="36"/>
      <c r="U25" s="36"/>
      <c r="V25" s="36"/>
    </row>
    <row r="26" spans="1:22" ht="12.75" customHeight="1" x14ac:dyDescent="0.25">
      <c r="A26" s="36"/>
      <c r="B26" s="36"/>
      <c r="C26" s="36"/>
      <c r="D26" s="36"/>
      <c r="E26" s="36"/>
      <c r="F26" s="36"/>
      <c r="G26" s="36"/>
      <c r="H26" s="36"/>
      <c r="I26" s="36"/>
      <c r="J26" s="36"/>
      <c r="K26" s="36"/>
      <c r="L26" s="36"/>
      <c r="M26" s="36"/>
      <c r="N26" s="36"/>
      <c r="O26" s="36"/>
      <c r="P26" s="36"/>
      <c r="Q26" s="36"/>
      <c r="R26" s="36"/>
      <c r="S26" s="36"/>
      <c r="T26" s="36"/>
      <c r="U26" s="36"/>
      <c r="V26" s="36"/>
    </row>
    <row r="27" spans="1:22" ht="12.75" customHeight="1" x14ac:dyDescent="0.25">
      <c r="A27" s="36"/>
      <c r="B27" s="36"/>
      <c r="C27" s="36"/>
      <c r="D27" s="36"/>
      <c r="E27" s="36"/>
      <c r="F27" s="36"/>
      <c r="G27" s="36"/>
      <c r="H27" s="36"/>
      <c r="I27" s="36"/>
      <c r="J27" s="36"/>
      <c r="K27" s="36"/>
      <c r="L27" s="36"/>
      <c r="M27" s="36"/>
      <c r="N27" s="36"/>
      <c r="O27" s="36"/>
      <c r="P27" s="36"/>
      <c r="Q27" s="36"/>
      <c r="R27" s="36"/>
      <c r="S27" s="36"/>
      <c r="T27" s="36"/>
      <c r="U27" s="36"/>
      <c r="V27" s="36"/>
    </row>
    <row r="28" spans="1:22" ht="12.75" customHeight="1" x14ac:dyDescent="0.25">
      <c r="A28" s="36"/>
      <c r="B28" s="36"/>
      <c r="C28" s="36"/>
      <c r="D28" s="36"/>
      <c r="E28" s="36"/>
      <c r="F28" s="36"/>
      <c r="G28" s="36"/>
      <c r="H28" s="36"/>
      <c r="I28" s="36"/>
      <c r="J28" s="36"/>
      <c r="K28" s="36"/>
      <c r="L28" s="36"/>
      <c r="M28" s="36"/>
      <c r="N28" s="36"/>
      <c r="O28" s="36"/>
      <c r="P28" s="36"/>
      <c r="Q28" s="36"/>
      <c r="R28" s="36"/>
      <c r="S28" s="36"/>
      <c r="T28" s="36"/>
      <c r="U28" s="36"/>
      <c r="V28" s="36"/>
    </row>
    <row r="29" spans="1:22" ht="12.75" customHeight="1" x14ac:dyDescent="0.25">
      <c r="A29" s="36"/>
      <c r="B29" s="36"/>
      <c r="C29" s="36"/>
      <c r="D29" s="36"/>
      <c r="E29" s="36"/>
      <c r="F29" s="36"/>
      <c r="G29" s="36"/>
      <c r="H29" s="36"/>
      <c r="I29" s="36"/>
      <c r="J29" s="36"/>
      <c r="K29" s="36"/>
      <c r="L29" s="36"/>
      <c r="M29" s="36"/>
      <c r="N29" s="36"/>
      <c r="O29" s="36"/>
      <c r="P29" s="36"/>
      <c r="Q29" s="36"/>
      <c r="R29" s="36"/>
      <c r="S29" s="36"/>
      <c r="T29" s="36"/>
      <c r="U29" s="36"/>
      <c r="V29" s="36"/>
    </row>
    <row r="30" spans="1:22" ht="12.75" customHeight="1" x14ac:dyDescent="0.25">
      <c r="A30" s="36"/>
      <c r="B30" s="36"/>
      <c r="C30" s="36"/>
      <c r="D30" s="36"/>
      <c r="E30" s="36"/>
      <c r="F30" s="36"/>
      <c r="G30" s="36"/>
      <c r="H30" s="36"/>
      <c r="I30" s="36"/>
      <c r="J30" s="36"/>
      <c r="K30" s="36"/>
      <c r="L30" s="36"/>
      <c r="M30" s="36"/>
      <c r="N30" s="36"/>
      <c r="O30" s="36"/>
      <c r="P30" s="36"/>
      <c r="Q30" s="36"/>
      <c r="R30" s="36"/>
      <c r="S30" s="36"/>
      <c r="T30" s="36"/>
      <c r="U30" s="36"/>
      <c r="V30" s="36"/>
    </row>
    <row r="31" spans="1:22" ht="12.75" customHeight="1" x14ac:dyDescent="0.25">
      <c r="A31" s="36"/>
      <c r="B31" s="36"/>
      <c r="C31" s="36"/>
      <c r="D31" s="36"/>
      <c r="E31" s="36"/>
      <c r="F31" s="36"/>
      <c r="G31" s="36"/>
      <c r="H31" s="36"/>
      <c r="I31" s="36"/>
      <c r="J31" s="36"/>
      <c r="K31" s="36"/>
      <c r="L31" s="36"/>
      <c r="M31" s="36"/>
      <c r="N31" s="36"/>
      <c r="O31" s="36"/>
      <c r="P31" s="36"/>
      <c r="Q31" s="36"/>
      <c r="R31" s="36"/>
      <c r="S31" s="36"/>
      <c r="T31" s="36"/>
      <c r="U31" s="36"/>
      <c r="V31" s="36"/>
    </row>
    <row r="32" spans="1:22" ht="12.75" customHeight="1" x14ac:dyDescent="0.25">
      <c r="A32" s="36"/>
      <c r="B32" s="36"/>
      <c r="C32" s="36"/>
      <c r="D32" s="36"/>
      <c r="E32" s="36"/>
      <c r="F32" s="36"/>
      <c r="G32" s="36"/>
      <c r="H32" s="36"/>
      <c r="I32" s="36"/>
      <c r="J32" s="36"/>
      <c r="K32" s="36"/>
      <c r="L32" s="36"/>
      <c r="M32" s="36"/>
      <c r="N32" s="36"/>
      <c r="O32" s="36"/>
      <c r="P32" s="36"/>
      <c r="Q32" s="36"/>
      <c r="R32" s="36"/>
      <c r="S32" s="36"/>
      <c r="T32" s="36"/>
      <c r="U32" s="36"/>
      <c r="V32" s="36"/>
    </row>
    <row r="33" spans="1:22" ht="12.75" customHeight="1" x14ac:dyDescent="0.25">
      <c r="A33" s="36"/>
      <c r="B33" s="36"/>
      <c r="C33" s="36"/>
      <c r="D33" s="36"/>
      <c r="E33" s="36"/>
      <c r="F33" s="36"/>
      <c r="G33" s="36"/>
      <c r="H33" s="36"/>
      <c r="I33" s="36"/>
      <c r="J33" s="36"/>
      <c r="K33" s="36"/>
      <c r="L33" s="36"/>
      <c r="M33" s="36"/>
      <c r="N33" s="36"/>
      <c r="O33" s="36"/>
      <c r="P33" s="36"/>
      <c r="Q33" s="36"/>
      <c r="R33" s="36"/>
      <c r="S33" s="36"/>
      <c r="T33" s="36"/>
      <c r="U33" s="36"/>
      <c r="V33" s="36"/>
    </row>
    <row r="34" spans="1:22" ht="12.75" customHeight="1" x14ac:dyDescent="0.25">
      <c r="A34" s="36"/>
      <c r="B34" s="36"/>
      <c r="C34" s="36"/>
      <c r="D34" s="36"/>
      <c r="E34" s="36"/>
      <c r="F34" s="36"/>
      <c r="G34" s="36"/>
      <c r="H34" s="36"/>
      <c r="I34" s="36"/>
      <c r="J34" s="36"/>
      <c r="K34" s="36"/>
      <c r="L34" s="36"/>
      <c r="M34" s="36"/>
      <c r="N34" s="36"/>
      <c r="O34" s="36"/>
      <c r="P34" s="36"/>
      <c r="Q34" s="36"/>
      <c r="R34" s="36"/>
      <c r="S34" s="36"/>
      <c r="T34" s="36"/>
      <c r="U34" s="36"/>
      <c r="V34" s="36"/>
    </row>
    <row r="35" spans="1:22" ht="12.75" customHeight="1" x14ac:dyDescent="0.25">
      <c r="A35" s="36"/>
      <c r="B35" s="36"/>
      <c r="C35" s="36"/>
      <c r="D35" s="36"/>
      <c r="E35" s="36"/>
      <c r="F35" s="36"/>
      <c r="G35" s="36"/>
      <c r="H35" s="36"/>
      <c r="I35" s="36"/>
      <c r="J35" s="36"/>
      <c r="K35" s="36"/>
      <c r="L35" s="36"/>
      <c r="M35" s="36"/>
      <c r="N35" s="36"/>
      <c r="O35" s="36"/>
      <c r="P35" s="36"/>
      <c r="Q35" s="36"/>
      <c r="R35" s="36"/>
      <c r="S35" s="36"/>
      <c r="T35" s="36"/>
      <c r="U35" s="36"/>
      <c r="V35" s="36"/>
    </row>
    <row r="36" spans="1:22" ht="12.75" customHeight="1" x14ac:dyDescent="0.25">
      <c r="A36" s="36"/>
      <c r="B36" s="36"/>
      <c r="C36" s="36"/>
      <c r="D36" s="36"/>
      <c r="E36" s="36"/>
      <c r="F36" s="36"/>
      <c r="G36" s="36"/>
      <c r="H36" s="36"/>
      <c r="I36" s="36"/>
      <c r="J36" s="36"/>
      <c r="K36" s="36"/>
      <c r="L36" s="36"/>
      <c r="M36" s="36"/>
      <c r="N36" s="36"/>
      <c r="O36" s="36"/>
      <c r="P36" s="36"/>
      <c r="Q36" s="36"/>
      <c r="R36" s="36"/>
      <c r="S36" s="36"/>
      <c r="T36" s="36"/>
      <c r="U36" s="36"/>
      <c r="V36" s="36"/>
    </row>
    <row r="37" spans="1:22" ht="12.75" customHeight="1" x14ac:dyDescent="0.25">
      <c r="A37" s="36"/>
      <c r="B37" s="36"/>
      <c r="C37" s="36"/>
      <c r="D37" s="36"/>
      <c r="E37" s="36"/>
      <c r="F37" s="36"/>
      <c r="G37" s="36"/>
      <c r="H37" s="36"/>
      <c r="I37" s="36"/>
      <c r="J37" s="36"/>
      <c r="K37" s="36"/>
      <c r="L37" s="36"/>
      <c r="M37" s="36"/>
      <c r="N37" s="36"/>
      <c r="O37" s="36"/>
      <c r="P37" s="36"/>
      <c r="Q37" s="36"/>
      <c r="R37" s="36"/>
      <c r="S37" s="36"/>
      <c r="T37" s="36"/>
      <c r="U37" s="36"/>
      <c r="V37" s="36"/>
    </row>
    <row r="38" spans="1:22" ht="12.75" customHeight="1" x14ac:dyDescent="0.25">
      <c r="A38" s="36"/>
      <c r="B38" s="36"/>
      <c r="C38" s="36"/>
      <c r="D38" s="36"/>
      <c r="E38" s="36"/>
      <c r="F38" s="36"/>
      <c r="G38" s="36"/>
      <c r="H38" s="36"/>
      <c r="I38" s="36"/>
      <c r="J38" s="36"/>
      <c r="K38" s="36"/>
      <c r="L38" s="36"/>
      <c r="M38" s="36"/>
      <c r="N38" s="36"/>
      <c r="O38" s="36"/>
      <c r="P38" s="36"/>
      <c r="Q38" s="36"/>
      <c r="R38" s="36"/>
      <c r="S38" s="36"/>
      <c r="T38" s="36"/>
      <c r="U38" s="36"/>
      <c r="V38" s="36"/>
    </row>
    <row r="39" spans="1:22" ht="12.75" customHeight="1" x14ac:dyDescent="0.25">
      <c r="A39" s="36"/>
      <c r="B39" s="36"/>
      <c r="C39" s="36"/>
      <c r="D39" s="36"/>
      <c r="E39" s="36"/>
      <c r="F39" s="36"/>
      <c r="G39" s="36"/>
      <c r="H39" s="36"/>
      <c r="I39" s="36"/>
      <c r="J39" s="36"/>
      <c r="K39" s="36"/>
      <c r="L39" s="36"/>
      <c r="M39" s="36"/>
      <c r="N39" s="36"/>
      <c r="O39" s="36"/>
      <c r="P39" s="36"/>
      <c r="Q39" s="36"/>
      <c r="R39" s="36"/>
      <c r="S39" s="36"/>
      <c r="T39" s="36"/>
      <c r="U39" s="36"/>
      <c r="V39" s="36"/>
    </row>
    <row r="40" spans="1:22" ht="12.75" customHeight="1" x14ac:dyDescent="0.25">
      <c r="A40" s="36"/>
      <c r="B40" s="36"/>
      <c r="C40" s="36"/>
      <c r="D40" s="36"/>
      <c r="E40" s="36"/>
      <c r="F40" s="36"/>
      <c r="G40" s="36"/>
      <c r="H40" s="36"/>
      <c r="I40" s="36"/>
      <c r="J40" s="36"/>
      <c r="K40" s="36"/>
      <c r="L40" s="36"/>
      <c r="M40" s="36"/>
      <c r="N40" s="36"/>
      <c r="O40" s="36"/>
      <c r="P40" s="36"/>
      <c r="Q40" s="36"/>
      <c r="R40" s="36"/>
      <c r="S40" s="36"/>
      <c r="T40" s="36"/>
      <c r="U40" s="36"/>
      <c r="V40" s="36"/>
    </row>
    <row r="41" spans="1:22" ht="12.75" customHeight="1" x14ac:dyDescent="0.25">
      <c r="A41" s="36"/>
      <c r="B41" s="36"/>
      <c r="C41" s="36"/>
      <c r="D41" s="36"/>
      <c r="E41" s="36"/>
      <c r="F41" s="36"/>
      <c r="G41" s="36"/>
      <c r="H41" s="36"/>
      <c r="I41" s="36"/>
      <c r="J41" s="36"/>
      <c r="K41" s="36"/>
      <c r="L41" s="36"/>
      <c r="M41" s="36"/>
      <c r="N41" s="36"/>
      <c r="O41" s="36"/>
      <c r="P41" s="36"/>
      <c r="Q41" s="36"/>
      <c r="R41" s="36"/>
      <c r="S41" s="36"/>
      <c r="T41" s="36"/>
      <c r="U41" s="36"/>
      <c r="V41" s="36"/>
    </row>
    <row r="42" spans="1:22" ht="12.75" customHeight="1" x14ac:dyDescent="0.25">
      <c r="A42" s="36"/>
      <c r="B42" s="36"/>
      <c r="C42" s="36"/>
      <c r="D42" s="36"/>
      <c r="E42" s="36"/>
      <c r="F42" s="36"/>
      <c r="G42" s="36"/>
      <c r="H42" s="36"/>
      <c r="I42" s="36"/>
      <c r="J42" s="36"/>
      <c r="K42" s="36"/>
      <c r="L42" s="36"/>
      <c r="M42" s="36"/>
      <c r="N42" s="36"/>
      <c r="O42" s="36"/>
      <c r="P42" s="36"/>
      <c r="Q42" s="36"/>
      <c r="R42" s="36"/>
      <c r="S42" s="36"/>
      <c r="T42" s="36"/>
      <c r="U42" s="36"/>
      <c r="V42" s="36"/>
    </row>
    <row r="43" spans="1:22" ht="12.75" customHeight="1" x14ac:dyDescent="0.25">
      <c r="A43" s="36"/>
      <c r="B43" s="36"/>
      <c r="C43" s="36"/>
      <c r="D43" s="36"/>
      <c r="E43" s="36"/>
      <c r="F43" s="36"/>
      <c r="G43" s="36"/>
      <c r="H43" s="36"/>
      <c r="I43" s="36"/>
      <c r="J43" s="36"/>
      <c r="K43" s="36"/>
      <c r="L43" s="36"/>
      <c r="M43" s="36"/>
      <c r="N43" s="36"/>
      <c r="O43" s="36"/>
      <c r="P43" s="36"/>
      <c r="Q43" s="36"/>
      <c r="R43" s="36"/>
      <c r="S43" s="36"/>
      <c r="T43" s="36"/>
      <c r="U43" s="36"/>
      <c r="V43" s="36"/>
    </row>
    <row r="44" spans="1:22" ht="12.75" customHeight="1" x14ac:dyDescent="0.25">
      <c r="A44" s="36"/>
      <c r="B44" s="36"/>
      <c r="C44" s="36"/>
      <c r="D44" s="36"/>
      <c r="E44" s="36"/>
      <c r="F44" s="36"/>
      <c r="G44" s="36"/>
      <c r="H44" s="36"/>
      <c r="I44" s="36"/>
      <c r="J44" s="36"/>
      <c r="K44" s="36"/>
      <c r="L44" s="36"/>
      <c r="M44" s="36"/>
      <c r="N44" s="36"/>
      <c r="O44" s="36"/>
      <c r="P44" s="36"/>
      <c r="Q44" s="36"/>
      <c r="R44" s="36"/>
      <c r="S44" s="36"/>
      <c r="T44" s="36"/>
      <c r="U44" s="36"/>
      <c r="V44" s="36"/>
    </row>
    <row r="45" spans="1:22" ht="12.75" customHeight="1" x14ac:dyDescent="0.25">
      <c r="A45" s="36"/>
      <c r="B45" s="36"/>
      <c r="C45" s="36"/>
      <c r="D45" s="36"/>
      <c r="E45" s="36"/>
      <c r="F45" s="36"/>
      <c r="G45" s="36"/>
      <c r="H45" s="36"/>
      <c r="I45" s="36"/>
      <c r="J45" s="36"/>
      <c r="K45" s="36"/>
      <c r="L45" s="36"/>
      <c r="M45" s="36"/>
      <c r="N45" s="36"/>
      <c r="O45" s="36"/>
      <c r="P45" s="36"/>
      <c r="Q45" s="36"/>
      <c r="R45" s="36"/>
      <c r="S45" s="36"/>
      <c r="T45" s="36"/>
      <c r="U45" s="36"/>
      <c r="V45" s="36"/>
    </row>
    <row r="46" spans="1:22" ht="12.75" customHeight="1" x14ac:dyDescent="0.25">
      <c r="A46" s="36"/>
      <c r="B46" s="36"/>
      <c r="C46" s="36"/>
      <c r="D46" s="36"/>
      <c r="E46" s="36"/>
      <c r="F46" s="36"/>
      <c r="G46" s="36"/>
      <c r="H46" s="36"/>
      <c r="I46" s="36"/>
      <c r="J46" s="36"/>
      <c r="K46" s="36"/>
      <c r="L46" s="36"/>
      <c r="M46" s="36"/>
      <c r="N46" s="36"/>
      <c r="O46" s="36"/>
      <c r="P46" s="36"/>
      <c r="Q46" s="36"/>
      <c r="R46" s="36"/>
      <c r="S46" s="36"/>
      <c r="T46" s="36"/>
      <c r="U46" s="36"/>
      <c r="V46" s="36"/>
    </row>
    <row r="47" spans="1:22" ht="12.75" customHeight="1" x14ac:dyDescent="0.25">
      <c r="A47" s="36"/>
      <c r="B47" s="36"/>
      <c r="C47" s="36"/>
      <c r="D47" s="36"/>
      <c r="E47" s="36"/>
      <c r="F47" s="36"/>
      <c r="G47" s="36"/>
      <c r="H47" s="36"/>
      <c r="I47" s="36"/>
      <c r="J47" s="36"/>
      <c r="K47" s="36"/>
      <c r="L47" s="36"/>
      <c r="M47" s="36"/>
      <c r="N47" s="36"/>
      <c r="O47" s="36"/>
      <c r="P47" s="36"/>
      <c r="Q47" s="36"/>
      <c r="R47" s="36"/>
      <c r="S47" s="36"/>
      <c r="T47" s="36"/>
      <c r="U47" s="36"/>
      <c r="V47" s="36"/>
    </row>
    <row r="48" spans="1:22" ht="12.75" customHeight="1" x14ac:dyDescent="0.25">
      <c r="A48" s="36"/>
      <c r="B48" s="36"/>
      <c r="C48" s="36"/>
      <c r="D48" s="36"/>
      <c r="E48" s="36"/>
      <c r="F48" s="36"/>
      <c r="G48" s="36"/>
      <c r="H48" s="36"/>
      <c r="I48" s="36"/>
      <c r="J48" s="36"/>
      <c r="K48" s="36"/>
      <c r="L48" s="36"/>
      <c r="M48" s="36"/>
      <c r="N48" s="36"/>
      <c r="O48" s="36"/>
      <c r="P48" s="36"/>
      <c r="Q48" s="36"/>
      <c r="R48" s="36"/>
      <c r="S48" s="36"/>
      <c r="T48" s="36"/>
      <c r="U48" s="36"/>
      <c r="V48" s="36"/>
    </row>
    <row r="49" spans="1:22" ht="12.75" customHeight="1" x14ac:dyDescent="0.25">
      <c r="A49" s="36"/>
      <c r="B49" s="36"/>
      <c r="C49" s="36"/>
      <c r="D49" s="36"/>
      <c r="E49" s="36"/>
      <c r="F49" s="36"/>
      <c r="G49" s="36"/>
      <c r="H49" s="36"/>
      <c r="I49" s="36"/>
      <c r="J49" s="36"/>
      <c r="K49" s="36"/>
      <c r="L49" s="36"/>
      <c r="M49" s="36"/>
      <c r="N49" s="36"/>
      <c r="O49" s="36"/>
      <c r="P49" s="36"/>
      <c r="Q49" s="36"/>
      <c r="R49" s="36"/>
      <c r="S49" s="36"/>
      <c r="T49" s="36"/>
      <c r="U49" s="36"/>
      <c r="V49" s="36"/>
    </row>
    <row r="50" spans="1:22" ht="12.75" customHeight="1" x14ac:dyDescent="0.25">
      <c r="A50" s="36"/>
      <c r="B50" s="36"/>
      <c r="C50" s="36"/>
      <c r="D50" s="36"/>
      <c r="E50" s="36"/>
      <c r="F50" s="36"/>
      <c r="G50" s="36"/>
      <c r="H50" s="36"/>
      <c r="I50" s="36"/>
      <c r="J50" s="36"/>
      <c r="K50" s="36"/>
      <c r="L50" s="36"/>
      <c r="M50" s="36"/>
      <c r="N50" s="36"/>
      <c r="O50" s="36"/>
      <c r="P50" s="36"/>
      <c r="Q50" s="36"/>
      <c r="R50" s="36"/>
      <c r="S50" s="36"/>
      <c r="T50" s="36"/>
      <c r="U50" s="36"/>
      <c r="V50" s="36"/>
    </row>
    <row r="51" spans="1:22" ht="12.75" customHeight="1" x14ac:dyDescent="0.25">
      <c r="A51" s="36"/>
      <c r="B51" s="36"/>
      <c r="C51" s="36"/>
      <c r="D51" s="36"/>
      <c r="E51" s="36"/>
      <c r="F51" s="36"/>
      <c r="G51" s="36"/>
      <c r="H51" s="36"/>
      <c r="I51" s="36"/>
      <c r="J51" s="36"/>
      <c r="K51" s="36"/>
      <c r="L51" s="36"/>
      <c r="M51" s="36"/>
      <c r="N51" s="36"/>
      <c r="O51" s="36"/>
      <c r="P51" s="36"/>
      <c r="Q51" s="36"/>
      <c r="R51" s="36"/>
      <c r="S51" s="36"/>
      <c r="T51" s="36"/>
      <c r="U51" s="36"/>
      <c r="V51" s="36"/>
    </row>
    <row r="52" spans="1:22" ht="12.75" customHeight="1" x14ac:dyDescent="0.25">
      <c r="A52" s="36"/>
      <c r="B52" s="36"/>
      <c r="C52" s="36"/>
      <c r="D52" s="36"/>
      <c r="E52" s="36"/>
      <c r="F52" s="36"/>
      <c r="G52" s="36"/>
      <c r="H52" s="36"/>
      <c r="I52" s="36"/>
      <c r="J52" s="36"/>
      <c r="K52" s="36"/>
      <c r="L52" s="36"/>
      <c r="M52" s="36"/>
      <c r="N52" s="36"/>
      <c r="O52" s="36"/>
      <c r="P52" s="36"/>
      <c r="Q52" s="36"/>
      <c r="R52" s="36"/>
      <c r="S52" s="36"/>
      <c r="T52" s="36"/>
      <c r="U52" s="36"/>
      <c r="V52" s="36"/>
    </row>
    <row r="53" spans="1:22" ht="12.75" customHeight="1" x14ac:dyDescent="0.25">
      <c r="A53" s="36"/>
      <c r="B53" s="36"/>
      <c r="C53" s="36"/>
      <c r="D53" s="36"/>
      <c r="E53" s="36"/>
      <c r="F53" s="36"/>
      <c r="G53" s="36"/>
      <c r="H53" s="36"/>
      <c r="I53" s="36"/>
      <c r="J53" s="36"/>
      <c r="K53" s="36"/>
      <c r="L53" s="36"/>
      <c r="M53" s="36"/>
      <c r="N53" s="36"/>
      <c r="O53" s="36"/>
      <c r="P53" s="36"/>
      <c r="Q53" s="36"/>
      <c r="R53" s="36"/>
      <c r="S53" s="36"/>
      <c r="T53" s="36"/>
      <c r="U53" s="36"/>
      <c r="V53" s="36"/>
    </row>
    <row r="54" spans="1:22" ht="12.75" customHeight="1" x14ac:dyDescent="0.25">
      <c r="A54" s="36"/>
      <c r="B54" s="36"/>
      <c r="C54" s="36"/>
      <c r="D54" s="36"/>
      <c r="E54" s="36"/>
      <c r="F54" s="36"/>
      <c r="G54" s="36"/>
      <c r="H54" s="36"/>
      <c r="I54" s="36"/>
      <c r="J54" s="36"/>
      <c r="K54" s="36"/>
      <c r="L54" s="36"/>
      <c r="M54" s="36"/>
      <c r="N54" s="36"/>
      <c r="O54" s="36"/>
      <c r="P54" s="36"/>
      <c r="Q54" s="36"/>
      <c r="R54" s="36"/>
      <c r="S54" s="36"/>
      <c r="T54" s="36"/>
      <c r="U54" s="36"/>
      <c r="V54" s="36"/>
    </row>
    <row r="55" spans="1:22" ht="12.75" customHeight="1" x14ac:dyDescent="0.25">
      <c r="A55" s="36"/>
      <c r="B55" s="36"/>
      <c r="C55" s="36"/>
      <c r="D55" s="36"/>
      <c r="E55" s="36"/>
      <c r="F55" s="36"/>
      <c r="G55" s="36"/>
      <c r="H55" s="36"/>
      <c r="I55" s="36"/>
      <c r="J55" s="36"/>
      <c r="K55" s="36"/>
      <c r="L55" s="36"/>
      <c r="M55" s="36"/>
      <c r="N55" s="36"/>
      <c r="O55" s="36"/>
      <c r="P55" s="36"/>
      <c r="Q55" s="36"/>
      <c r="R55" s="36"/>
      <c r="S55" s="36"/>
      <c r="T55" s="36"/>
      <c r="U55" s="36"/>
      <c r="V55" s="36"/>
    </row>
    <row r="56" spans="1:22" ht="12.75" customHeight="1" x14ac:dyDescent="0.25">
      <c r="A56" s="36"/>
      <c r="B56" s="36"/>
      <c r="C56" s="36"/>
      <c r="D56" s="36"/>
      <c r="E56" s="36"/>
      <c r="F56" s="36"/>
      <c r="G56" s="36"/>
      <c r="H56" s="36"/>
      <c r="I56" s="36"/>
      <c r="J56" s="36"/>
      <c r="K56" s="36"/>
      <c r="L56" s="36"/>
      <c r="M56" s="36"/>
      <c r="N56" s="36"/>
      <c r="O56" s="36"/>
      <c r="P56" s="36"/>
      <c r="Q56" s="36"/>
      <c r="R56" s="36"/>
      <c r="S56" s="36"/>
      <c r="T56" s="36"/>
      <c r="U56" s="36"/>
      <c r="V56" s="36"/>
    </row>
    <row r="57" spans="1:22" ht="12.75" customHeight="1" x14ac:dyDescent="0.25"/>
    <row r="58" spans="1:22" ht="12.75" customHeight="1" x14ac:dyDescent="0.25"/>
    <row r="59" spans="1:22" ht="12.75" customHeight="1" x14ac:dyDescent="0.25"/>
    <row r="60" spans="1:22" ht="12.75" customHeight="1" x14ac:dyDescent="0.25"/>
    <row r="61" spans="1:22" ht="12.75" customHeight="1" x14ac:dyDescent="0.25"/>
    <row r="62" spans="1:22" ht="12.75" customHeight="1" x14ac:dyDescent="0.25"/>
    <row r="63" spans="1:22" ht="12.75" customHeight="1" x14ac:dyDescent="0.25"/>
    <row r="64" spans="1:22"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3:V56"/>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7"/>
  <sheetViews>
    <sheetView workbookViewId="0">
      <selection activeCell="F4" sqref="F4"/>
    </sheetView>
  </sheetViews>
  <sheetFormatPr defaultColWidth="12.6640625" defaultRowHeight="13.2" x14ac:dyDescent="0.25"/>
  <cols>
    <col min="1" max="1" width="4.21875" customWidth="1"/>
    <col min="2" max="3" width="20.33203125" customWidth="1"/>
    <col min="4" max="4" width="16" customWidth="1"/>
    <col min="5" max="6" width="12" customWidth="1"/>
  </cols>
  <sheetData>
    <row r="1" spans="1:6" ht="12.75" customHeight="1" x14ac:dyDescent="0.25">
      <c r="A1" s="37" t="s">
        <v>2</v>
      </c>
      <c r="B1" s="37"/>
      <c r="C1" s="37"/>
      <c r="D1" s="37"/>
      <c r="E1" s="37"/>
      <c r="F1" s="37"/>
    </row>
    <row r="2" spans="1:6" ht="12.75" customHeight="1" x14ac:dyDescent="0.25"/>
    <row r="3" spans="1:6" ht="12.75" customHeight="1" x14ac:dyDescent="0.25">
      <c r="A3" s="27" t="s">
        <v>3</v>
      </c>
      <c r="B3" s="27" t="s">
        <v>4</v>
      </c>
      <c r="C3" s="27" t="s">
        <v>5</v>
      </c>
      <c r="D3" s="27" t="s">
        <v>6</v>
      </c>
      <c r="E3" s="27" t="s">
        <v>7</v>
      </c>
      <c r="F3" s="27" t="s">
        <v>8</v>
      </c>
    </row>
    <row r="4" spans="1:6" ht="12.75" customHeight="1" x14ac:dyDescent="0.25">
      <c r="A4" s="28">
        <v>1</v>
      </c>
      <c r="B4" s="29" t="s">
        <v>9</v>
      </c>
      <c r="C4" s="29" t="s">
        <v>10</v>
      </c>
      <c r="D4" s="29" t="s">
        <v>11</v>
      </c>
      <c r="E4" s="30" t="s">
        <v>12</v>
      </c>
      <c r="F4" s="30" t="s">
        <v>13</v>
      </c>
    </row>
    <row r="5" spans="1:6" ht="12.75" customHeight="1" x14ac:dyDescent="0.25">
      <c r="A5" s="28">
        <v>2</v>
      </c>
      <c r="B5" s="29" t="s">
        <v>14</v>
      </c>
      <c r="C5" s="29" t="s">
        <v>15</v>
      </c>
      <c r="D5" s="29" t="s">
        <v>16</v>
      </c>
      <c r="E5" s="30" t="s">
        <v>12</v>
      </c>
      <c r="F5" s="30" t="s">
        <v>13</v>
      </c>
    </row>
    <row r="6" spans="1:6" ht="12.75" customHeight="1" x14ac:dyDescent="0.25">
      <c r="A6" s="28">
        <v>3</v>
      </c>
      <c r="B6" s="29" t="s">
        <v>17</v>
      </c>
      <c r="C6" s="29" t="s">
        <v>18</v>
      </c>
      <c r="D6" s="29" t="s">
        <v>19</v>
      </c>
      <c r="E6" s="30" t="s">
        <v>12</v>
      </c>
      <c r="F6" s="30" t="s">
        <v>13</v>
      </c>
    </row>
    <row r="7" spans="1:6" ht="12.75" customHeight="1" x14ac:dyDescent="0.25">
      <c r="A7" s="28">
        <v>4</v>
      </c>
      <c r="B7" s="29" t="s">
        <v>20</v>
      </c>
      <c r="C7" s="29" t="s">
        <v>21</v>
      </c>
      <c r="D7" s="29" t="s">
        <v>16</v>
      </c>
      <c r="E7" s="30" t="s">
        <v>12</v>
      </c>
      <c r="F7" s="30" t="s">
        <v>13</v>
      </c>
    </row>
    <row r="8" spans="1:6" ht="12.75" customHeight="1" x14ac:dyDescent="0.25">
      <c r="A8" s="28">
        <v>5</v>
      </c>
      <c r="B8" s="29" t="s">
        <v>22</v>
      </c>
      <c r="C8" s="29" t="s">
        <v>23</v>
      </c>
      <c r="D8" s="29" t="s">
        <v>24</v>
      </c>
      <c r="E8" s="30" t="s">
        <v>12</v>
      </c>
      <c r="F8" s="30" t="s">
        <v>13</v>
      </c>
    </row>
    <row r="9" spans="1:6" ht="12.75" customHeight="1" x14ac:dyDescent="0.25">
      <c r="A9" s="28">
        <v>6</v>
      </c>
      <c r="B9" s="29" t="s">
        <v>25</v>
      </c>
      <c r="C9" s="29" t="s">
        <v>26</v>
      </c>
      <c r="D9" s="29" t="s">
        <v>24</v>
      </c>
      <c r="E9" s="30" t="s">
        <v>12</v>
      </c>
      <c r="F9" s="30" t="s">
        <v>13</v>
      </c>
    </row>
    <row r="10" spans="1:6" ht="12.75" customHeight="1" x14ac:dyDescent="0.25"/>
    <row r="11" spans="1:6" ht="12.75" customHeight="1" x14ac:dyDescent="0.25"/>
    <row r="12" spans="1:6" ht="12.75" customHeight="1" x14ac:dyDescent="0.25"/>
    <row r="13" spans="1:6" ht="12.75" customHeight="1" x14ac:dyDescent="0.25"/>
    <row r="14" spans="1:6" ht="12.75" customHeight="1" x14ac:dyDescent="0.25"/>
    <row r="15" spans="1:6" ht="12.75" customHeight="1" x14ac:dyDescent="0.25"/>
    <row r="16" spans="1: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sheetData>
  <mergeCells count="1">
    <mergeCell ref="A1:F1"/>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zoomScaleNormal="100" workbookViewId="0">
      <pane xSplit="2" ySplit="3" topLeftCell="D28" activePane="bottomRight" state="frozen"/>
      <selection pane="topRight"/>
      <selection pane="bottomLeft"/>
      <selection pane="bottomRight" activeCell="E72" sqref="E72"/>
    </sheetView>
  </sheetViews>
  <sheetFormatPr defaultColWidth="12.6640625" defaultRowHeight="13.2" x14ac:dyDescent="0.25"/>
  <cols>
    <col min="1" max="1" width="10" customWidth="1"/>
    <col min="2" max="2" width="48" customWidth="1"/>
    <col min="3" max="3" width="14" customWidth="1"/>
    <col min="4" max="4" width="17" customWidth="1"/>
    <col min="5" max="5" width="52.88671875" customWidth="1"/>
    <col min="6" max="6" width="17" customWidth="1"/>
    <col min="7" max="7" width="29.109375" customWidth="1"/>
    <col min="8" max="26" width="17" customWidth="1"/>
  </cols>
  <sheetData>
    <row r="1" spans="1:11" ht="12.75" customHeight="1" x14ac:dyDescent="0.25">
      <c r="A1" s="32" t="s">
        <v>27</v>
      </c>
      <c r="B1" s="32"/>
      <c r="C1" s="32"/>
      <c r="D1" s="32"/>
      <c r="E1" s="32"/>
      <c r="F1" s="32"/>
      <c r="G1" s="32"/>
      <c r="H1" s="32"/>
      <c r="I1" s="32"/>
      <c r="J1" s="32"/>
      <c r="K1" s="32"/>
    </row>
    <row r="2" spans="1:11" ht="25.5" customHeight="1" x14ac:dyDescent="0.25">
      <c r="A2" s="38"/>
      <c r="B2" s="38"/>
      <c r="C2" s="38"/>
      <c r="D2" s="38"/>
      <c r="E2" s="38"/>
      <c r="F2" s="38"/>
      <c r="G2" s="38"/>
      <c r="H2" s="38"/>
      <c r="I2" s="38"/>
      <c r="J2" s="38"/>
      <c r="K2" s="38"/>
    </row>
    <row r="3" spans="1:11" ht="30" customHeight="1" x14ac:dyDescent="0.25">
      <c r="A3" s="10" t="s">
        <v>28</v>
      </c>
      <c r="B3" s="10" t="s">
        <v>29</v>
      </c>
      <c r="C3" s="10" t="s">
        <v>30</v>
      </c>
      <c r="D3" s="10" t="s">
        <v>31</v>
      </c>
      <c r="E3" s="10" t="s">
        <v>32</v>
      </c>
      <c r="F3" s="10" t="s">
        <v>33</v>
      </c>
      <c r="G3" s="10" t="s">
        <v>34</v>
      </c>
      <c r="H3" s="10" t="s">
        <v>35</v>
      </c>
      <c r="I3" s="10" t="s">
        <v>36</v>
      </c>
      <c r="J3" s="10" t="s">
        <v>37</v>
      </c>
      <c r="K3" s="10" t="s">
        <v>38</v>
      </c>
    </row>
    <row r="4" spans="1:11" ht="12.75" customHeight="1" x14ac:dyDescent="0.25">
      <c r="A4" s="11"/>
      <c r="B4" s="12"/>
      <c r="C4" s="13"/>
    </row>
    <row r="5" spans="1:11" ht="18" customHeight="1" x14ac:dyDescent="0.25">
      <c r="A5" s="39" t="s">
        <v>39</v>
      </c>
      <c r="B5" s="39"/>
      <c r="C5" s="39"/>
      <c r="D5" s="39"/>
      <c r="E5" s="39"/>
      <c r="F5" s="39"/>
      <c r="G5" s="39"/>
      <c r="H5" s="39"/>
      <c r="I5" s="39"/>
      <c r="J5" s="39"/>
      <c r="K5" s="39"/>
    </row>
    <row r="6" spans="1:11" ht="42.75" customHeight="1" x14ac:dyDescent="0.25">
      <c r="A6" s="6" t="s">
        <v>40</v>
      </c>
      <c r="B6" s="6" t="s">
        <v>41</v>
      </c>
      <c r="C6" s="7">
        <v>3</v>
      </c>
      <c r="D6" s="6" t="s">
        <v>42</v>
      </c>
      <c r="E6" s="6" t="s">
        <v>43</v>
      </c>
      <c r="F6" s="14" t="s">
        <v>44</v>
      </c>
      <c r="G6" s="6" t="s">
        <v>45</v>
      </c>
      <c r="H6" s="15" t="s">
        <v>46</v>
      </c>
      <c r="I6" s="9" t="s">
        <v>47</v>
      </c>
      <c r="J6" s="9" t="s">
        <v>48</v>
      </c>
      <c r="K6" s="16">
        <f>C6*$C$59</f>
        <v>900000</v>
      </c>
    </row>
    <row r="7" spans="1:11" ht="30" customHeight="1" x14ac:dyDescent="0.25">
      <c r="A7" s="6" t="s">
        <v>49</v>
      </c>
      <c r="B7" s="6" t="s">
        <v>50</v>
      </c>
      <c r="C7" s="7">
        <v>5</v>
      </c>
      <c r="D7" s="6" t="s">
        <v>51</v>
      </c>
      <c r="E7" s="6" t="s">
        <v>52</v>
      </c>
      <c r="F7" s="14" t="s">
        <v>44</v>
      </c>
      <c r="G7" s="17" t="s">
        <v>53</v>
      </c>
      <c r="H7" s="18" t="s">
        <v>54</v>
      </c>
      <c r="I7" s="9" t="s">
        <v>47</v>
      </c>
      <c r="J7" s="9" t="s">
        <v>48</v>
      </c>
      <c r="K7" s="16">
        <f>C7*$C$59</f>
        <v>1500000</v>
      </c>
    </row>
    <row r="8" spans="1:11" ht="42.75" customHeight="1" x14ac:dyDescent="0.25">
      <c r="A8" s="6" t="s">
        <v>55</v>
      </c>
      <c r="B8" s="6" t="s">
        <v>56</v>
      </c>
      <c r="C8" s="7">
        <v>5</v>
      </c>
      <c r="D8" s="6" t="s">
        <v>57</v>
      </c>
      <c r="E8" s="6" t="s">
        <v>58</v>
      </c>
      <c r="F8" s="14" t="s">
        <v>44</v>
      </c>
      <c r="G8" s="6" t="s">
        <v>59</v>
      </c>
      <c r="H8" s="14" t="s">
        <v>44</v>
      </c>
      <c r="I8" s="9" t="s">
        <v>47</v>
      </c>
      <c r="J8" s="9" t="s">
        <v>48</v>
      </c>
      <c r="K8" s="16">
        <f>C8*$C$59</f>
        <v>1500000</v>
      </c>
    </row>
    <row r="9" spans="1:11" ht="18" customHeight="1" x14ac:dyDescent="0.25">
      <c r="A9" s="39" t="s">
        <v>60</v>
      </c>
      <c r="B9" s="39"/>
      <c r="C9" s="39"/>
      <c r="D9" s="39"/>
      <c r="E9" s="39"/>
      <c r="F9" s="39"/>
      <c r="G9" s="39"/>
      <c r="H9" s="39"/>
      <c r="I9" s="39"/>
      <c r="J9" s="39"/>
      <c r="K9" s="39"/>
    </row>
    <row r="10" spans="1:11" ht="30" customHeight="1" x14ac:dyDescent="0.25">
      <c r="A10" s="6" t="s">
        <v>61</v>
      </c>
      <c r="B10" s="6" t="s">
        <v>62</v>
      </c>
      <c r="C10" s="7">
        <v>3</v>
      </c>
      <c r="D10" s="6" t="s">
        <v>57</v>
      </c>
      <c r="E10" s="6" t="s">
        <v>63</v>
      </c>
      <c r="F10" s="14" t="s">
        <v>44</v>
      </c>
      <c r="G10" s="6" t="s">
        <v>64</v>
      </c>
      <c r="H10" s="15" t="s">
        <v>46</v>
      </c>
      <c r="I10" s="9" t="s">
        <v>47</v>
      </c>
      <c r="J10" s="9" t="s">
        <v>65</v>
      </c>
      <c r="K10" s="16">
        <f t="shared" ref="K10:K15" si="0">C10*$C$59</f>
        <v>900000</v>
      </c>
    </row>
    <row r="11" spans="1:11" ht="42.75" customHeight="1" x14ac:dyDescent="0.25">
      <c r="A11" s="6" t="s">
        <v>66</v>
      </c>
      <c r="B11" s="6" t="s">
        <v>67</v>
      </c>
      <c r="C11" s="7">
        <v>3</v>
      </c>
      <c r="D11" s="6" t="s">
        <v>57</v>
      </c>
      <c r="E11" s="6" t="s">
        <v>68</v>
      </c>
      <c r="F11" s="18" t="s">
        <v>54</v>
      </c>
      <c r="G11" s="6" t="s">
        <v>69</v>
      </c>
      <c r="H11" s="15" t="s">
        <v>46</v>
      </c>
      <c r="I11" s="9" t="s">
        <v>47</v>
      </c>
      <c r="J11" s="9" t="s">
        <v>65</v>
      </c>
      <c r="K11" s="16">
        <f t="shared" si="0"/>
        <v>900000</v>
      </c>
    </row>
    <row r="12" spans="1:11" ht="30" customHeight="1" x14ac:dyDescent="0.25">
      <c r="A12" s="6" t="s">
        <v>70</v>
      </c>
      <c r="B12" s="6" t="s">
        <v>71</v>
      </c>
      <c r="C12" s="7">
        <v>2</v>
      </c>
      <c r="D12" s="6" t="s">
        <v>57</v>
      </c>
      <c r="E12" s="6" t="s">
        <v>72</v>
      </c>
      <c r="F12" s="18" t="s">
        <v>54</v>
      </c>
      <c r="G12" s="6" t="s">
        <v>73</v>
      </c>
      <c r="H12" s="15" t="s">
        <v>46</v>
      </c>
      <c r="I12" s="9" t="s">
        <v>47</v>
      </c>
      <c r="J12" s="9" t="s">
        <v>65</v>
      </c>
      <c r="K12" s="16">
        <f t="shared" si="0"/>
        <v>600000</v>
      </c>
    </row>
    <row r="13" spans="1:11" ht="30" customHeight="1" x14ac:dyDescent="0.25">
      <c r="A13" s="6" t="s">
        <v>74</v>
      </c>
      <c r="B13" s="6" t="s">
        <v>75</v>
      </c>
      <c r="C13" s="7">
        <v>5</v>
      </c>
      <c r="D13" s="6" t="s">
        <v>57</v>
      </c>
      <c r="E13" s="6" t="s">
        <v>76</v>
      </c>
      <c r="F13" s="14" t="s">
        <v>44</v>
      </c>
      <c r="G13" s="6" t="s">
        <v>77</v>
      </c>
      <c r="H13" s="18" t="s">
        <v>54</v>
      </c>
      <c r="I13" s="9" t="s">
        <v>47</v>
      </c>
      <c r="J13" s="9" t="s">
        <v>78</v>
      </c>
      <c r="K13" s="16">
        <f t="shared" si="0"/>
        <v>1500000</v>
      </c>
    </row>
    <row r="14" spans="1:11" ht="30" customHeight="1" x14ac:dyDescent="0.25">
      <c r="A14" s="6" t="s">
        <v>79</v>
      </c>
      <c r="B14" s="6" t="s">
        <v>80</v>
      </c>
      <c r="C14" s="7">
        <v>3</v>
      </c>
      <c r="D14" s="6" t="s">
        <v>57</v>
      </c>
      <c r="E14" s="6" t="s">
        <v>81</v>
      </c>
      <c r="F14" s="18" t="s">
        <v>54</v>
      </c>
      <c r="G14" s="6" t="s">
        <v>82</v>
      </c>
      <c r="H14" s="15" t="s">
        <v>46</v>
      </c>
      <c r="I14" s="9" t="s">
        <v>47</v>
      </c>
      <c r="J14" s="9" t="s">
        <v>78</v>
      </c>
      <c r="K14" s="16">
        <f t="shared" si="0"/>
        <v>900000</v>
      </c>
    </row>
    <row r="15" spans="1:11" ht="42.75" customHeight="1" x14ac:dyDescent="0.25">
      <c r="A15" s="6" t="s">
        <v>83</v>
      </c>
      <c r="B15" s="6" t="s">
        <v>84</v>
      </c>
      <c r="C15" s="7">
        <v>5</v>
      </c>
      <c r="D15" s="6" t="s">
        <v>57</v>
      </c>
      <c r="E15" s="6" t="s">
        <v>85</v>
      </c>
      <c r="F15" s="18" t="s">
        <v>54</v>
      </c>
      <c r="G15" s="6" t="s">
        <v>86</v>
      </c>
      <c r="H15" s="18" t="s">
        <v>54</v>
      </c>
      <c r="I15" s="9" t="s">
        <v>87</v>
      </c>
      <c r="J15" s="9" t="s">
        <v>78</v>
      </c>
      <c r="K15" s="16">
        <f t="shared" si="0"/>
        <v>1500000</v>
      </c>
    </row>
    <row r="16" spans="1:11" ht="18" customHeight="1" x14ac:dyDescent="0.25">
      <c r="A16" s="39" t="s">
        <v>88</v>
      </c>
      <c r="B16" s="39"/>
      <c r="C16" s="39"/>
      <c r="D16" s="39"/>
      <c r="E16" s="39"/>
      <c r="F16" s="39"/>
      <c r="G16" s="39"/>
      <c r="H16" s="39"/>
      <c r="I16" s="39"/>
      <c r="J16" s="39"/>
      <c r="K16" s="39"/>
    </row>
    <row r="17" spans="1:11" ht="42.75" customHeight="1" x14ac:dyDescent="0.25">
      <c r="A17" s="6" t="s">
        <v>89</v>
      </c>
      <c r="B17" s="6" t="s">
        <v>90</v>
      </c>
      <c r="C17" s="7">
        <v>5</v>
      </c>
      <c r="D17" s="6" t="s">
        <v>57</v>
      </c>
      <c r="E17" s="6" t="s">
        <v>91</v>
      </c>
      <c r="F17" s="14" t="s">
        <v>44</v>
      </c>
      <c r="G17" s="6" t="s">
        <v>92</v>
      </c>
      <c r="H17" s="14" t="s">
        <v>44</v>
      </c>
      <c r="I17" s="9" t="s">
        <v>47</v>
      </c>
      <c r="J17" s="9" t="s">
        <v>93</v>
      </c>
      <c r="K17" s="16">
        <f t="shared" ref="K17:K22" si="1">C17*$C$59</f>
        <v>1500000</v>
      </c>
    </row>
    <row r="18" spans="1:11" ht="42.75" customHeight="1" x14ac:dyDescent="0.25">
      <c r="A18" s="6" t="s">
        <v>94</v>
      </c>
      <c r="B18" s="6" t="s">
        <v>95</v>
      </c>
      <c r="C18" s="7">
        <v>3</v>
      </c>
      <c r="D18" s="6" t="s">
        <v>42</v>
      </c>
      <c r="E18" s="6" t="s">
        <v>96</v>
      </c>
      <c r="F18" s="14" t="s">
        <v>44</v>
      </c>
      <c r="G18" s="6" t="s">
        <v>97</v>
      </c>
      <c r="H18" s="15" t="s">
        <v>46</v>
      </c>
      <c r="I18" s="9" t="s">
        <v>47</v>
      </c>
      <c r="J18" s="9" t="s">
        <v>98</v>
      </c>
      <c r="K18" s="16">
        <f t="shared" si="1"/>
        <v>900000</v>
      </c>
    </row>
    <row r="19" spans="1:11" ht="42.75" customHeight="1" x14ac:dyDescent="0.25">
      <c r="A19" s="6" t="s">
        <v>99</v>
      </c>
      <c r="B19" s="6" t="s">
        <v>100</v>
      </c>
      <c r="C19" s="7">
        <v>5</v>
      </c>
      <c r="D19" s="6" t="s">
        <v>42</v>
      </c>
      <c r="E19" s="6" t="s">
        <v>101</v>
      </c>
      <c r="F19" s="14" t="s">
        <v>44</v>
      </c>
      <c r="G19" s="6" t="s">
        <v>102</v>
      </c>
      <c r="H19" s="18" t="s">
        <v>54</v>
      </c>
      <c r="I19" s="9" t="s">
        <v>47</v>
      </c>
      <c r="J19" s="9" t="s">
        <v>98</v>
      </c>
      <c r="K19" s="16">
        <f t="shared" si="1"/>
        <v>1500000</v>
      </c>
    </row>
    <row r="20" spans="1:11" ht="42.75" customHeight="1" x14ac:dyDescent="0.25">
      <c r="A20" s="6" t="s">
        <v>103</v>
      </c>
      <c r="B20" s="6" t="s">
        <v>104</v>
      </c>
      <c r="C20" s="7">
        <v>3</v>
      </c>
      <c r="D20" s="6" t="s">
        <v>42</v>
      </c>
      <c r="E20" s="6" t="s">
        <v>105</v>
      </c>
      <c r="F20" s="14" t="s">
        <v>44</v>
      </c>
      <c r="G20" s="6" t="s">
        <v>106</v>
      </c>
      <c r="H20" s="18" t="s">
        <v>54</v>
      </c>
      <c r="I20" s="9" t="s">
        <v>87</v>
      </c>
      <c r="J20" s="9" t="s">
        <v>107</v>
      </c>
      <c r="K20" s="16">
        <f t="shared" si="1"/>
        <v>900000</v>
      </c>
    </row>
    <row r="21" spans="1:11" ht="42.75" customHeight="1" x14ac:dyDescent="0.25">
      <c r="A21" s="6" t="s">
        <v>108</v>
      </c>
      <c r="B21" s="6" t="s">
        <v>109</v>
      </c>
      <c r="C21" s="7">
        <v>3</v>
      </c>
      <c r="D21" s="6" t="s">
        <v>42</v>
      </c>
      <c r="E21" s="6" t="s">
        <v>110</v>
      </c>
      <c r="F21" s="18" t="s">
        <v>54</v>
      </c>
      <c r="G21" s="6" t="s">
        <v>111</v>
      </c>
      <c r="H21" s="15" t="s">
        <v>46</v>
      </c>
      <c r="I21" s="9" t="s">
        <v>87</v>
      </c>
      <c r="J21" s="9" t="s">
        <v>107</v>
      </c>
      <c r="K21" s="16">
        <f t="shared" si="1"/>
        <v>900000</v>
      </c>
    </row>
    <row r="22" spans="1:11" ht="30" customHeight="1" x14ac:dyDescent="0.25">
      <c r="A22" s="6" t="s">
        <v>112</v>
      </c>
      <c r="B22" s="6" t="s">
        <v>113</v>
      </c>
      <c r="C22" s="7">
        <v>3</v>
      </c>
      <c r="D22" s="6" t="s">
        <v>57</v>
      </c>
      <c r="E22" s="6" t="s">
        <v>114</v>
      </c>
      <c r="F22" s="18" t="s">
        <v>54</v>
      </c>
      <c r="G22" s="6" t="s">
        <v>115</v>
      </c>
      <c r="H22" s="18" t="s">
        <v>54</v>
      </c>
      <c r="I22" s="9" t="s">
        <v>87</v>
      </c>
      <c r="J22" s="9" t="s">
        <v>116</v>
      </c>
      <c r="K22" s="16">
        <f t="shared" si="1"/>
        <v>900000</v>
      </c>
    </row>
    <row r="23" spans="1:11" ht="18" customHeight="1" x14ac:dyDescent="0.25">
      <c r="A23" s="39" t="s">
        <v>117</v>
      </c>
      <c r="B23" s="39"/>
      <c r="C23" s="39"/>
      <c r="D23" s="39"/>
      <c r="E23" s="39"/>
      <c r="F23" s="39"/>
      <c r="G23" s="39"/>
      <c r="H23" s="39"/>
      <c r="I23" s="39"/>
      <c r="J23" s="39"/>
      <c r="K23" s="39"/>
    </row>
    <row r="24" spans="1:11" ht="30" customHeight="1" x14ac:dyDescent="0.25">
      <c r="A24" s="6" t="s">
        <v>118</v>
      </c>
      <c r="B24" s="6" t="s">
        <v>119</v>
      </c>
      <c r="C24" s="7">
        <v>3</v>
      </c>
      <c r="D24" s="6" t="s">
        <v>57</v>
      </c>
      <c r="E24" s="6" t="s">
        <v>120</v>
      </c>
      <c r="F24" s="14" t="s">
        <v>44</v>
      </c>
      <c r="G24" s="6" t="s">
        <v>121</v>
      </c>
      <c r="H24" s="18" t="s">
        <v>54</v>
      </c>
      <c r="I24" s="9" t="s">
        <v>122</v>
      </c>
      <c r="J24" s="9" t="s">
        <v>93</v>
      </c>
      <c r="K24" s="16">
        <f>C24*$C$59</f>
        <v>900000</v>
      </c>
    </row>
    <row r="25" spans="1:11" ht="42.75" customHeight="1" x14ac:dyDescent="0.25">
      <c r="A25" s="6" t="s">
        <v>123</v>
      </c>
      <c r="B25" s="6" t="s">
        <v>124</v>
      </c>
      <c r="C25" s="7">
        <v>3</v>
      </c>
      <c r="D25" s="6" t="s">
        <v>57</v>
      </c>
      <c r="E25" s="6" t="s">
        <v>125</v>
      </c>
      <c r="F25" s="14" t="s">
        <v>44</v>
      </c>
      <c r="G25" s="6" t="s">
        <v>126</v>
      </c>
      <c r="H25" s="18" t="s">
        <v>54</v>
      </c>
      <c r="I25" s="9" t="s">
        <v>122</v>
      </c>
      <c r="J25" s="9" t="s">
        <v>127</v>
      </c>
      <c r="K25" s="16">
        <f>C25*$C$59</f>
        <v>900000</v>
      </c>
    </row>
    <row r="26" spans="1:11" ht="30" customHeight="1" x14ac:dyDescent="0.25">
      <c r="A26" s="6" t="s">
        <v>128</v>
      </c>
      <c r="B26" s="6" t="s">
        <v>129</v>
      </c>
      <c r="C26" s="7">
        <v>3</v>
      </c>
      <c r="D26" s="6" t="s">
        <v>57</v>
      </c>
      <c r="E26" s="6" t="s">
        <v>130</v>
      </c>
      <c r="F26" s="18" t="s">
        <v>54</v>
      </c>
      <c r="G26" s="6" t="s">
        <v>131</v>
      </c>
      <c r="H26" s="18" t="s">
        <v>54</v>
      </c>
      <c r="I26" s="9" t="s">
        <v>122</v>
      </c>
      <c r="J26" s="9" t="s">
        <v>127</v>
      </c>
      <c r="K26" s="16">
        <f>C26*$C$59</f>
        <v>900000</v>
      </c>
    </row>
    <row r="27" spans="1:11" ht="18" customHeight="1" x14ac:dyDescent="0.25">
      <c r="A27" s="39" t="s">
        <v>132</v>
      </c>
      <c r="B27" s="39"/>
      <c r="C27" s="39"/>
      <c r="D27" s="39"/>
      <c r="E27" s="39"/>
      <c r="F27" s="39"/>
      <c r="G27" s="39"/>
      <c r="H27" s="39"/>
      <c r="I27" s="39"/>
      <c r="J27" s="39"/>
      <c r="K27" s="39"/>
    </row>
    <row r="28" spans="1:11" ht="30" customHeight="1" x14ac:dyDescent="0.25">
      <c r="A28" s="6" t="s">
        <v>133</v>
      </c>
      <c r="B28" s="6" t="s">
        <v>134</v>
      </c>
      <c r="C28" s="7">
        <v>8</v>
      </c>
      <c r="D28" s="6" t="s">
        <v>51</v>
      </c>
      <c r="E28" s="6" t="s">
        <v>135</v>
      </c>
      <c r="F28" s="14" t="s">
        <v>44</v>
      </c>
      <c r="G28" s="6" t="s">
        <v>136</v>
      </c>
      <c r="H28" s="14" t="s">
        <v>44</v>
      </c>
      <c r="I28" s="9" t="s">
        <v>122</v>
      </c>
      <c r="J28" s="9" t="s">
        <v>137</v>
      </c>
      <c r="K28" s="16">
        <f t="shared" ref="K28:K36" si="2">C28*$C$59</f>
        <v>2400000</v>
      </c>
    </row>
    <row r="29" spans="1:11" ht="30" customHeight="1" x14ac:dyDescent="0.25">
      <c r="A29" s="6" t="s">
        <v>138</v>
      </c>
      <c r="B29" s="6" t="s">
        <v>139</v>
      </c>
      <c r="C29" s="7">
        <v>5</v>
      </c>
      <c r="D29" s="6" t="s">
        <v>51</v>
      </c>
      <c r="E29" s="6" t="s">
        <v>140</v>
      </c>
      <c r="F29" s="14" t="s">
        <v>44</v>
      </c>
      <c r="G29" s="6" t="s">
        <v>141</v>
      </c>
      <c r="H29" s="18" t="s">
        <v>54</v>
      </c>
      <c r="I29" s="9" t="s">
        <v>122</v>
      </c>
      <c r="J29" s="9" t="s">
        <v>137</v>
      </c>
      <c r="K29" s="16">
        <f t="shared" si="2"/>
        <v>1500000</v>
      </c>
    </row>
    <row r="30" spans="1:11" ht="42.75" customHeight="1" x14ac:dyDescent="0.25">
      <c r="A30" s="6" t="s">
        <v>142</v>
      </c>
      <c r="B30" s="6" t="s">
        <v>143</v>
      </c>
      <c r="C30" s="7">
        <v>5</v>
      </c>
      <c r="D30" s="6" t="s">
        <v>51</v>
      </c>
      <c r="E30" s="6" t="s">
        <v>144</v>
      </c>
      <c r="F30" s="14" t="s">
        <v>44</v>
      </c>
      <c r="G30" s="6" t="s">
        <v>145</v>
      </c>
      <c r="H30" s="14" t="s">
        <v>44</v>
      </c>
      <c r="I30" s="9" t="s">
        <v>122</v>
      </c>
      <c r="J30" s="9" t="s">
        <v>146</v>
      </c>
      <c r="K30" s="16">
        <f t="shared" si="2"/>
        <v>1500000</v>
      </c>
    </row>
    <row r="31" spans="1:11" ht="42.75" customHeight="1" x14ac:dyDescent="0.25">
      <c r="A31" s="6" t="s">
        <v>147</v>
      </c>
      <c r="B31" s="6" t="s">
        <v>148</v>
      </c>
      <c r="C31" s="7">
        <v>8</v>
      </c>
      <c r="D31" s="6" t="s">
        <v>51</v>
      </c>
      <c r="E31" s="6" t="s">
        <v>149</v>
      </c>
      <c r="F31" s="14" t="s">
        <v>44</v>
      </c>
      <c r="G31" s="6" t="s">
        <v>150</v>
      </c>
      <c r="H31" s="14" t="s">
        <v>44</v>
      </c>
      <c r="I31" s="9" t="s">
        <v>122</v>
      </c>
      <c r="J31" s="9" t="s">
        <v>151</v>
      </c>
      <c r="K31" s="16">
        <f t="shared" si="2"/>
        <v>2400000</v>
      </c>
    </row>
    <row r="32" spans="1:11" ht="30" customHeight="1" x14ac:dyDescent="0.25">
      <c r="A32" s="6" t="s">
        <v>152</v>
      </c>
      <c r="B32" s="6" t="s">
        <v>153</v>
      </c>
      <c r="C32" s="7">
        <v>3</v>
      </c>
      <c r="D32" s="6" t="s">
        <v>51</v>
      </c>
      <c r="E32" s="6" t="s">
        <v>154</v>
      </c>
      <c r="F32" s="14" t="s">
        <v>44</v>
      </c>
      <c r="G32" s="6" t="s">
        <v>155</v>
      </c>
      <c r="H32" s="18" t="s">
        <v>54</v>
      </c>
      <c r="I32" s="9" t="s">
        <v>122</v>
      </c>
      <c r="J32" s="9" t="s">
        <v>151</v>
      </c>
      <c r="K32" s="16">
        <f t="shared" si="2"/>
        <v>900000</v>
      </c>
    </row>
    <row r="33" spans="1:11" ht="42.75" customHeight="1" x14ac:dyDescent="0.25">
      <c r="A33" s="6" t="s">
        <v>156</v>
      </c>
      <c r="B33" s="6" t="s">
        <v>157</v>
      </c>
      <c r="C33" s="7">
        <v>5</v>
      </c>
      <c r="D33" s="6" t="s">
        <v>51</v>
      </c>
      <c r="E33" s="6" t="s">
        <v>158</v>
      </c>
      <c r="F33" s="14" t="s">
        <v>44</v>
      </c>
      <c r="G33" s="6" t="s">
        <v>159</v>
      </c>
      <c r="H33" s="14" t="s">
        <v>44</v>
      </c>
      <c r="I33" s="9" t="s">
        <v>122</v>
      </c>
      <c r="J33" s="9" t="s">
        <v>160</v>
      </c>
      <c r="K33" s="16">
        <f t="shared" si="2"/>
        <v>1500000</v>
      </c>
    </row>
    <row r="34" spans="1:11" ht="55.5" customHeight="1" x14ac:dyDescent="0.25">
      <c r="A34" s="6" t="s">
        <v>161</v>
      </c>
      <c r="B34" s="6" t="s">
        <v>162</v>
      </c>
      <c r="C34" s="7">
        <v>5</v>
      </c>
      <c r="D34" s="6" t="s">
        <v>57</v>
      </c>
      <c r="E34" s="6" t="s">
        <v>163</v>
      </c>
      <c r="F34" s="14" t="s">
        <v>44</v>
      </c>
      <c r="G34" s="6" t="s">
        <v>164</v>
      </c>
      <c r="H34" s="14" t="s">
        <v>44</v>
      </c>
      <c r="I34" s="9" t="s">
        <v>122</v>
      </c>
      <c r="J34" s="9" t="s">
        <v>160</v>
      </c>
      <c r="K34" s="16">
        <f t="shared" si="2"/>
        <v>1500000</v>
      </c>
    </row>
    <row r="35" spans="1:11" ht="30" customHeight="1" x14ac:dyDescent="0.25">
      <c r="A35" s="6" t="s">
        <v>165</v>
      </c>
      <c r="B35" s="6" t="s">
        <v>166</v>
      </c>
      <c r="C35" s="7">
        <v>3</v>
      </c>
      <c r="D35" s="6" t="s">
        <v>51</v>
      </c>
      <c r="E35" s="6" t="s">
        <v>167</v>
      </c>
      <c r="F35" s="18" t="s">
        <v>54</v>
      </c>
      <c r="G35" s="6" t="s">
        <v>168</v>
      </c>
      <c r="H35" s="15" t="s">
        <v>46</v>
      </c>
      <c r="I35" s="9" t="s">
        <v>122</v>
      </c>
      <c r="J35" s="9" t="s">
        <v>160</v>
      </c>
      <c r="K35" s="16">
        <f t="shared" si="2"/>
        <v>900000</v>
      </c>
    </row>
    <row r="36" spans="1:11" ht="42.75" customHeight="1" x14ac:dyDescent="0.25">
      <c r="A36" s="6" t="s">
        <v>169</v>
      </c>
      <c r="B36" s="6" t="s">
        <v>170</v>
      </c>
      <c r="C36" s="7">
        <v>3</v>
      </c>
      <c r="D36" s="6" t="s">
        <v>51</v>
      </c>
      <c r="E36" s="6" t="s">
        <v>171</v>
      </c>
      <c r="F36" s="18" t="s">
        <v>54</v>
      </c>
      <c r="G36" s="6" t="s">
        <v>172</v>
      </c>
      <c r="H36" s="15" t="s">
        <v>46</v>
      </c>
      <c r="I36" s="9" t="s">
        <v>122</v>
      </c>
      <c r="J36" s="9" t="s">
        <v>160</v>
      </c>
      <c r="K36" s="16">
        <f t="shared" si="2"/>
        <v>900000</v>
      </c>
    </row>
    <row r="37" spans="1:11" ht="18" customHeight="1" x14ac:dyDescent="0.25">
      <c r="A37" s="39" t="s">
        <v>173</v>
      </c>
      <c r="B37" s="39"/>
      <c r="C37" s="39"/>
      <c r="D37" s="39"/>
      <c r="E37" s="39"/>
      <c r="F37" s="39"/>
      <c r="G37" s="39"/>
      <c r="H37" s="39"/>
      <c r="I37" s="39"/>
      <c r="J37" s="39"/>
      <c r="K37" s="39"/>
    </row>
    <row r="38" spans="1:11" ht="42.75" customHeight="1" x14ac:dyDescent="0.25">
      <c r="A38" s="6" t="s">
        <v>174</v>
      </c>
      <c r="B38" s="6" t="s">
        <v>175</v>
      </c>
      <c r="C38" s="7">
        <v>5</v>
      </c>
      <c r="D38" s="6" t="s">
        <v>51</v>
      </c>
      <c r="E38" s="6" t="s">
        <v>176</v>
      </c>
      <c r="F38" s="14" t="s">
        <v>44</v>
      </c>
      <c r="G38" s="6" t="s">
        <v>177</v>
      </c>
      <c r="H38" s="18" t="s">
        <v>54</v>
      </c>
      <c r="I38" s="9" t="s">
        <v>87</v>
      </c>
      <c r="J38" s="9" t="s">
        <v>178</v>
      </c>
      <c r="K38" s="16">
        <f>C38*$C$59</f>
        <v>1500000</v>
      </c>
    </row>
    <row r="39" spans="1:11" ht="30" customHeight="1" x14ac:dyDescent="0.25">
      <c r="A39" s="6" t="s">
        <v>179</v>
      </c>
      <c r="B39" s="6" t="s">
        <v>180</v>
      </c>
      <c r="C39" s="7">
        <v>2</v>
      </c>
      <c r="D39" s="6" t="s">
        <v>51</v>
      </c>
      <c r="E39" s="6" t="s">
        <v>181</v>
      </c>
      <c r="F39" s="18" t="s">
        <v>54</v>
      </c>
      <c r="G39" s="6" t="s">
        <v>182</v>
      </c>
      <c r="H39" s="15" t="s">
        <v>46</v>
      </c>
      <c r="I39" s="9" t="s">
        <v>87</v>
      </c>
      <c r="J39" s="9" t="s">
        <v>178</v>
      </c>
      <c r="K39" s="16">
        <f>C39*$C$59</f>
        <v>600000</v>
      </c>
    </row>
    <row r="40" spans="1:11" ht="42.75" customHeight="1" x14ac:dyDescent="0.25">
      <c r="A40" s="6" t="s">
        <v>183</v>
      </c>
      <c r="B40" s="6" t="s">
        <v>184</v>
      </c>
      <c r="C40" s="7">
        <v>3</v>
      </c>
      <c r="D40" s="6" t="s">
        <v>51</v>
      </c>
      <c r="E40" s="6" t="s">
        <v>185</v>
      </c>
      <c r="F40" s="18" t="s">
        <v>54</v>
      </c>
      <c r="G40" s="6" t="s">
        <v>186</v>
      </c>
      <c r="H40" s="15" t="s">
        <v>46</v>
      </c>
      <c r="I40" s="9" t="s">
        <v>87</v>
      </c>
      <c r="J40" s="9" t="s">
        <v>187</v>
      </c>
      <c r="K40" s="16">
        <f>C40*$C$59</f>
        <v>900000</v>
      </c>
    </row>
    <row r="41" spans="1:11" ht="30" customHeight="1" x14ac:dyDescent="0.25">
      <c r="A41" s="6" t="s">
        <v>188</v>
      </c>
      <c r="B41" s="6" t="s">
        <v>189</v>
      </c>
      <c r="C41" s="7">
        <v>5</v>
      </c>
      <c r="D41" s="6" t="s">
        <v>51</v>
      </c>
      <c r="E41" s="6" t="s">
        <v>190</v>
      </c>
      <c r="F41" s="18" t="s">
        <v>54</v>
      </c>
      <c r="G41" s="6" t="s">
        <v>191</v>
      </c>
      <c r="H41" s="18" t="s">
        <v>54</v>
      </c>
      <c r="I41" s="9" t="s">
        <v>87</v>
      </c>
      <c r="J41" s="9" t="s">
        <v>187</v>
      </c>
      <c r="K41" s="16">
        <f>C41*$C$59</f>
        <v>1500000</v>
      </c>
    </row>
    <row r="42" spans="1:11" ht="18" customHeight="1" x14ac:dyDescent="0.25">
      <c r="A42" s="39" t="s">
        <v>192</v>
      </c>
      <c r="B42" s="39"/>
      <c r="C42" s="39"/>
      <c r="D42" s="39"/>
      <c r="E42" s="39"/>
      <c r="F42" s="39"/>
      <c r="G42" s="39"/>
      <c r="H42" s="39"/>
      <c r="I42" s="39"/>
      <c r="J42" s="39"/>
      <c r="K42" s="39"/>
    </row>
    <row r="43" spans="1:11" ht="30" customHeight="1" x14ac:dyDescent="0.25">
      <c r="A43" s="6" t="s">
        <v>193</v>
      </c>
      <c r="B43" s="6" t="s">
        <v>194</v>
      </c>
      <c r="C43" s="7">
        <v>5</v>
      </c>
      <c r="D43" s="6" t="s">
        <v>51</v>
      </c>
      <c r="E43" s="6" t="s">
        <v>195</v>
      </c>
      <c r="F43" s="18" t="s">
        <v>54</v>
      </c>
      <c r="G43" s="6" t="s">
        <v>196</v>
      </c>
      <c r="H43" s="18" t="s">
        <v>54</v>
      </c>
      <c r="I43" s="9" t="s">
        <v>87</v>
      </c>
      <c r="J43" s="9" t="s">
        <v>197</v>
      </c>
      <c r="K43" s="16">
        <f>C43*$C$59</f>
        <v>1500000</v>
      </c>
    </row>
    <row r="44" spans="1:11" ht="30" customHeight="1" x14ac:dyDescent="0.25">
      <c r="A44" s="6" t="s">
        <v>198</v>
      </c>
      <c r="B44" s="6" t="s">
        <v>199</v>
      </c>
      <c r="C44" s="7">
        <v>3</v>
      </c>
      <c r="D44" s="6" t="s">
        <v>51</v>
      </c>
      <c r="E44" s="6" t="s">
        <v>200</v>
      </c>
      <c r="F44" s="15" t="s">
        <v>46</v>
      </c>
      <c r="G44" s="6" t="s">
        <v>201</v>
      </c>
      <c r="H44" s="15" t="s">
        <v>46</v>
      </c>
      <c r="I44" s="9" t="s">
        <v>87</v>
      </c>
      <c r="J44" s="9" t="s">
        <v>202</v>
      </c>
      <c r="K44" s="16">
        <f>C44*$C$59</f>
        <v>900000</v>
      </c>
    </row>
    <row r="45" spans="1:11" ht="30" customHeight="1" x14ac:dyDescent="0.25">
      <c r="A45" s="6" t="s">
        <v>203</v>
      </c>
      <c r="B45" s="6" t="s">
        <v>204</v>
      </c>
      <c r="C45" s="7">
        <v>3</v>
      </c>
      <c r="D45" s="6" t="s">
        <v>57</v>
      </c>
      <c r="E45" s="6" t="s">
        <v>205</v>
      </c>
      <c r="F45" s="18" t="s">
        <v>54</v>
      </c>
      <c r="G45" s="6" t="s">
        <v>206</v>
      </c>
      <c r="H45" s="15" t="s">
        <v>46</v>
      </c>
      <c r="I45" s="9" t="s">
        <v>87</v>
      </c>
      <c r="J45" s="9" t="s">
        <v>202</v>
      </c>
      <c r="K45" s="16">
        <f>C45*$C$59</f>
        <v>900000</v>
      </c>
    </row>
    <row r="46" spans="1:11" ht="18" customHeight="1" x14ac:dyDescent="0.25">
      <c r="A46" s="39" t="s">
        <v>207</v>
      </c>
      <c r="B46" s="39"/>
      <c r="C46" s="39"/>
      <c r="D46" s="39"/>
      <c r="E46" s="39"/>
      <c r="F46" s="39"/>
      <c r="G46" s="39"/>
      <c r="H46" s="39"/>
      <c r="I46" s="39"/>
      <c r="J46" s="39"/>
      <c r="K46" s="39"/>
    </row>
    <row r="47" spans="1:11" ht="42.75" customHeight="1" x14ac:dyDescent="0.25">
      <c r="A47" s="6" t="s">
        <v>208</v>
      </c>
      <c r="B47" s="6" t="s">
        <v>209</v>
      </c>
      <c r="C47" s="7">
        <v>3</v>
      </c>
      <c r="D47" s="6" t="s">
        <v>57</v>
      </c>
      <c r="E47" s="6" t="s">
        <v>210</v>
      </c>
      <c r="F47" s="18" t="s">
        <v>54</v>
      </c>
      <c r="G47" s="6" t="s">
        <v>211</v>
      </c>
      <c r="H47" s="18" t="s">
        <v>54</v>
      </c>
      <c r="I47" s="9" t="s">
        <v>87</v>
      </c>
      <c r="J47" s="9" t="s">
        <v>212</v>
      </c>
      <c r="K47" s="16">
        <f>C47*$C$59</f>
        <v>900000</v>
      </c>
    </row>
    <row r="48" spans="1:11" ht="30" customHeight="1" x14ac:dyDescent="0.25">
      <c r="A48" s="6" t="s">
        <v>213</v>
      </c>
      <c r="B48" s="6" t="s">
        <v>214</v>
      </c>
      <c r="C48" s="7">
        <v>3</v>
      </c>
      <c r="D48" s="6" t="s">
        <v>57</v>
      </c>
      <c r="E48" s="6" t="s">
        <v>215</v>
      </c>
      <c r="F48" s="18" t="s">
        <v>54</v>
      </c>
      <c r="G48" s="6" t="s">
        <v>216</v>
      </c>
      <c r="H48" s="18" t="s">
        <v>54</v>
      </c>
      <c r="I48" s="9" t="s">
        <v>87</v>
      </c>
      <c r="J48" s="9" t="s">
        <v>212</v>
      </c>
      <c r="K48" s="16">
        <f>C48*$C$59</f>
        <v>900000</v>
      </c>
    </row>
    <row r="49" spans="1:11" ht="18" customHeight="1" x14ac:dyDescent="0.25">
      <c r="A49" s="39" t="s">
        <v>217</v>
      </c>
      <c r="B49" s="39"/>
      <c r="C49" s="39"/>
      <c r="D49" s="39"/>
      <c r="E49" s="39"/>
      <c r="F49" s="39"/>
      <c r="G49" s="39"/>
      <c r="H49" s="39"/>
      <c r="I49" s="39"/>
      <c r="J49" s="39"/>
      <c r="K49" s="39"/>
    </row>
    <row r="50" spans="1:11" ht="42.75" customHeight="1" x14ac:dyDescent="0.25">
      <c r="A50" s="6" t="s">
        <v>218</v>
      </c>
      <c r="B50" s="6" t="s">
        <v>219</v>
      </c>
      <c r="C50" s="7">
        <v>5</v>
      </c>
      <c r="D50" s="6" t="s">
        <v>57</v>
      </c>
      <c r="E50" s="6" t="s">
        <v>220</v>
      </c>
      <c r="F50" s="15" t="s">
        <v>46</v>
      </c>
      <c r="G50" s="6" t="s">
        <v>221</v>
      </c>
      <c r="H50" s="18" t="s">
        <v>54</v>
      </c>
      <c r="I50" s="9" t="s">
        <v>222</v>
      </c>
      <c r="J50" s="9" t="s">
        <v>223</v>
      </c>
      <c r="K50" s="16">
        <f>C50*$C$59</f>
        <v>1500000</v>
      </c>
    </row>
    <row r="51" spans="1:11" ht="42.75" customHeight="1" x14ac:dyDescent="0.25">
      <c r="A51" s="6" t="s">
        <v>224</v>
      </c>
      <c r="B51" s="6" t="s">
        <v>225</v>
      </c>
      <c r="C51" s="7">
        <v>5</v>
      </c>
      <c r="D51" s="6" t="s">
        <v>57</v>
      </c>
      <c r="E51" s="6" t="s">
        <v>226</v>
      </c>
      <c r="F51" s="18" t="s">
        <v>54</v>
      </c>
      <c r="G51" s="6" t="s">
        <v>227</v>
      </c>
      <c r="H51" s="18" t="s">
        <v>54</v>
      </c>
      <c r="I51" s="9" t="s">
        <v>222</v>
      </c>
      <c r="J51" s="9" t="s">
        <v>228</v>
      </c>
      <c r="K51" s="16">
        <f>C51*$C$59</f>
        <v>1500000</v>
      </c>
    </row>
    <row r="52" spans="1:11" ht="42.75" customHeight="1" x14ac:dyDescent="0.25">
      <c r="A52" s="6" t="s">
        <v>229</v>
      </c>
      <c r="B52" s="6" t="s">
        <v>230</v>
      </c>
      <c r="C52" s="7">
        <v>5</v>
      </c>
      <c r="D52" s="6" t="s">
        <v>57</v>
      </c>
      <c r="E52" s="6" t="s">
        <v>231</v>
      </c>
      <c r="F52" s="18" t="s">
        <v>54</v>
      </c>
      <c r="G52" s="6" t="s">
        <v>232</v>
      </c>
      <c r="H52" s="18" t="s">
        <v>54</v>
      </c>
      <c r="I52" s="9" t="s">
        <v>222</v>
      </c>
      <c r="J52" s="9" t="s">
        <v>228</v>
      </c>
      <c r="K52" s="16">
        <f>C52*$C$59</f>
        <v>1500000</v>
      </c>
    </row>
    <row r="53" spans="1:11" ht="30" customHeight="1" x14ac:dyDescent="0.25">
      <c r="A53" s="6" t="s">
        <v>233</v>
      </c>
      <c r="B53" s="6" t="s">
        <v>234</v>
      </c>
      <c r="C53" s="7">
        <v>5</v>
      </c>
      <c r="D53" s="6" t="s">
        <v>57</v>
      </c>
      <c r="E53" s="6" t="s">
        <v>235</v>
      </c>
      <c r="F53" s="15" t="s">
        <v>46</v>
      </c>
      <c r="G53" s="6" t="s">
        <v>236</v>
      </c>
      <c r="H53" s="15" t="s">
        <v>46</v>
      </c>
      <c r="I53" s="9" t="s">
        <v>222</v>
      </c>
      <c r="J53" s="9" t="s">
        <v>116</v>
      </c>
      <c r="K53" s="16">
        <f>C53*$C$59</f>
        <v>1500000</v>
      </c>
    </row>
    <row r="54" spans="1:11" ht="18" customHeight="1" x14ac:dyDescent="0.25">
      <c r="A54" s="39" t="s">
        <v>237</v>
      </c>
      <c r="B54" s="39"/>
      <c r="C54" s="39"/>
      <c r="D54" s="39"/>
      <c r="E54" s="39"/>
      <c r="F54" s="39"/>
      <c r="G54" s="39"/>
      <c r="H54" s="39"/>
      <c r="I54" s="39"/>
      <c r="J54" s="39"/>
      <c r="K54" s="39"/>
    </row>
    <row r="55" spans="1:11" ht="42.75" customHeight="1" x14ac:dyDescent="0.25">
      <c r="A55" s="6" t="s">
        <v>238</v>
      </c>
      <c r="B55" s="6" t="s">
        <v>239</v>
      </c>
      <c r="C55" s="7">
        <v>5</v>
      </c>
      <c r="D55" s="6" t="s">
        <v>240</v>
      </c>
      <c r="E55" s="6" t="s">
        <v>241</v>
      </c>
      <c r="F55" s="14" t="s">
        <v>44</v>
      </c>
      <c r="G55" s="6" t="s">
        <v>242</v>
      </c>
      <c r="H55" s="14" t="s">
        <v>44</v>
      </c>
      <c r="I55" s="9" t="s">
        <v>47</v>
      </c>
      <c r="J55" s="9" t="s">
        <v>243</v>
      </c>
      <c r="K55" s="16">
        <f>C55*$C$59</f>
        <v>1500000</v>
      </c>
    </row>
    <row r="56" spans="1:11" ht="42.75" customHeight="1" x14ac:dyDescent="0.25">
      <c r="A56" s="6" t="s">
        <v>244</v>
      </c>
      <c r="B56" s="6" t="s">
        <v>245</v>
      </c>
      <c r="C56" s="7">
        <v>8</v>
      </c>
      <c r="D56" s="6" t="s">
        <v>240</v>
      </c>
      <c r="E56" s="6" t="s">
        <v>246</v>
      </c>
      <c r="F56" s="14" t="s">
        <v>44</v>
      </c>
      <c r="G56" s="6" t="s">
        <v>247</v>
      </c>
      <c r="H56" s="14" t="s">
        <v>44</v>
      </c>
      <c r="I56" s="9" t="s">
        <v>222</v>
      </c>
      <c r="J56" s="9" t="s">
        <v>243</v>
      </c>
      <c r="K56" s="16">
        <f>C56*$C$59</f>
        <v>2400000</v>
      </c>
    </row>
    <row r="57" spans="1:11" ht="12.75" customHeight="1" x14ac:dyDescent="0.25"/>
    <row r="58" spans="1:11" ht="27.75" customHeight="1" x14ac:dyDescent="0.25">
      <c r="B58" s="3" t="s">
        <v>248</v>
      </c>
      <c r="C58" s="4">
        <f>SUM(C5:C56)</f>
        <v>175</v>
      </c>
    </row>
    <row r="59" spans="1:11" ht="27.75" customHeight="1" x14ac:dyDescent="0.25">
      <c r="B59" s="3" t="s">
        <v>249</v>
      </c>
      <c r="C59" s="19">
        <v>300000</v>
      </c>
    </row>
    <row r="60" spans="1:11" ht="27.75" customHeight="1" x14ac:dyDescent="0.25">
      <c r="B60" s="3" t="s">
        <v>250</v>
      </c>
      <c r="C60" s="20">
        <f>C58*C59</f>
        <v>52500000</v>
      </c>
    </row>
    <row r="61" spans="1:11" ht="27.75" customHeight="1" x14ac:dyDescent="0.25">
      <c r="B61" s="3" t="s">
        <v>251</v>
      </c>
      <c r="C61" s="21">
        <f>C58/4</f>
        <v>43.75</v>
      </c>
    </row>
    <row r="62" spans="1:11" ht="12.75" customHeight="1" x14ac:dyDescent="0.25"/>
    <row r="63" spans="1:11" ht="12.75" customHeight="1" x14ac:dyDescent="0.25">
      <c r="B63" s="22" t="s">
        <v>252</v>
      </c>
      <c r="C63" s="2" t="s">
        <v>253</v>
      </c>
      <c r="D63" s="2" t="s">
        <v>254</v>
      </c>
    </row>
    <row r="64" spans="1:11" ht="12.75" customHeight="1" x14ac:dyDescent="0.25">
      <c r="B64" s="23" t="s">
        <v>44</v>
      </c>
      <c r="C64" s="24">
        <f>COUNTIF($F$5:$F$56,B64)</f>
        <v>21</v>
      </c>
      <c r="D64" s="24">
        <f>SUMIF($F$5:$F$56,B64,$C$5:$C$56)</f>
        <v>100</v>
      </c>
    </row>
    <row r="65" spans="2:4" ht="12.75" customHeight="1" x14ac:dyDescent="0.25">
      <c r="B65" s="25" t="s">
        <v>54</v>
      </c>
      <c r="C65" s="24">
        <f>COUNTIF($F$5:$F$56,B65)</f>
        <v>18</v>
      </c>
      <c r="D65" s="24">
        <f>SUMIF($F$5:$F$56,B65,$C$5:$C$56)</f>
        <v>62</v>
      </c>
    </row>
    <row r="66" spans="2:4" ht="12.75" customHeight="1" x14ac:dyDescent="0.25">
      <c r="B66" s="26" t="s">
        <v>46</v>
      </c>
      <c r="C66" s="24">
        <f>COUNTIF($F$5:$F$56,B66)</f>
        <v>3</v>
      </c>
      <c r="D66" s="24">
        <f>SUMIF($F$5:$F$56,B66,$C$5:$C$56)</f>
        <v>13</v>
      </c>
    </row>
    <row r="67" spans="2:4" ht="12.75" customHeight="1" x14ac:dyDescent="0.25">
      <c r="B67" s="3" t="s">
        <v>255</v>
      </c>
      <c r="C67" s="4">
        <f>SUM(C64:C66)</f>
        <v>42</v>
      </c>
      <c r="D67" s="4">
        <f>SUM(D64:D66)</f>
        <v>175</v>
      </c>
    </row>
    <row r="68" spans="2:4" ht="12.75" customHeight="1" x14ac:dyDescent="0.25"/>
    <row r="69" spans="2:4" ht="12.75" customHeight="1" x14ac:dyDescent="0.25"/>
    <row r="70" spans="2:4" ht="12.75" customHeight="1" x14ac:dyDescent="0.25"/>
    <row r="71" spans="2:4" ht="12.75" customHeight="1" x14ac:dyDescent="0.25"/>
    <row r="72" spans="2:4" ht="12.75" customHeight="1" x14ac:dyDescent="0.25"/>
    <row r="73" spans="2:4" ht="12.75" customHeight="1" x14ac:dyDescent="0.25"/>
    <row r="74" spans="2:4" ht="12.75" customHeight="1" x14ac:dyDescent="0.25"/>
    <row r="75" spans="2:4" ht="12.75" customHeight="1" x14ac:dyDescent="0.25"/>
    <row r="76" spans="2:4" ht="12.75" customHeight="1" x14ac:dyDescent="0.25"/>
    <row r="77" spans="2:4" ht="12.75" customHeight="1" x14ac:dyDescent="0.25"/>
    <row r="78" spans="2:4" ht="12.75" customHeight="1" x14ac:dyDescent="0.25"/>
    <row r="79" spans="2:4" ht="12.75" customHeight="1" x14ac:dyDescent="0.25"/>
    <row r="80" spans="2:4"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2">
    <mergeCell ref="A49:K49"/>
    <mergeCell ref="A54:K54"/>
    <mergeCell ref="A23:K23"/>
    <mergeCell ref="A27:K27"/>
    <mergeCell ref="A37:K37"/>
    <mergeCell ref="A42:K42"/>
    <mergeCell ref="A46:K46"/>
    <mergeCell ref="A1:K1"/>
    <mergeCell ref="A2:K2"/>
    <mergeCell ref="A5:K5"/>
    <mergeCell ref="A9:K9"/>
    <mergeCell ref="A16:K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7"/>
  <sheetViews>
    <sheetView workbookViewId="0">
      <pane xSplit="2" ySplit="4" topLeftCell="C5" activePane="bottomRight" state="frozen"/>
      <selection pane="topRight"/>
      <selection pane="bottomLeft"/>
      <selection pane="bottomRight" activeCell="D56" sqref="D56"/>
    </sheetView>
  </sheetViews>
  <sheetFormatPr defaultColWidth="8.6640625" defaultRowHeight="13.2" x14ac:dyDescent="0.25"/>
  <cols>
    <col min="1" max="1" width="10" customWidth="1"/>
    <col min="2" max="2" width="44" customWidth="1"/>
    <col min="3" max="3" width="8" customWidth="1"/>
    <col min="4" max="4" width="40" customWidth="1"/>
    <col min="5" max="6" width="12" customWidth="1"/>
    <col min="7" max="7" width="14" customWidth="1"/>
    <col min="8" max="8" width="13" customWidth="1"/>
    <col min="9" max="9" width="10" customWidth="1"/>
    <col min="10" max="10" width="52" customWidth="1"/>
  </cols>
  <sheetData>
    <row r="1" spans="1:10" ht="17.25" customHeight="1" x14ac:dyDescent="0.25">
      <c r="A1" s="32" t="s">
        <v>256</v>
      </c>
      <c r="B1" s="32"/>
      <c r="C1" s="32"/>
      <c r="D1" s="32"/>
      <c r="E1" s="32"/>
      <c r="F1" s="32"/>
      <c r="G1" s="32"/>
      <c r="H1" s="32"/>
      <c r="I1" s="32"/>
      <c r="J1" s="32"/>
    </row>
    <row r="2" spans="1:10" ht="17.25" customHeight="1" x14ac:dyDescent="0.25">
      <c r="A2" s="1"/>
      <c r="B2" s="1"/>
      <c r="C2" s="1"/>
      <c r="D2" s="1"/>
      <c r="E2" s="1"/>
      <c r="F2" s="1"/>
      <c r="G2" s="1"/>
      <c r="H2" s="1"/>
      <c r="I2" s="1"/>
      <c r="J2" s="1"/>
    </row>
    <row r="3" spans="1:10" ht="15" customHeight="1" x14ac:dyDescent="0.25">
      <c r="E3" s="33" t="s">
        <v>257</v>
      </c>
      <c r="F3" s="33"/>
      <c r="G3" s="33" t="s">
        <v>258</v>
      </c>
      <c r="H3" s="33"/>
    </row>
    <row r="4" spans="1:10" ht="15" customHeight="1" x14ac:dyDescent="0.25">
      <c r="A4" s="2" t="s">
        <v>28</v>
      </c>
      <c r="B4" s="2" t="s">
        <v>29</v>
      </c>
      <c r="C4" s="2" t="s">
        <v>30</v>
      </c>
      <c r="D4" s="2" t="s">
        <v>259</v>
      </c>
      <c r="E4" s="2" t="s">
        <v>260</v>
      </c>
      <c r="F4" s="2" t="s">
        <v>261</v>
      </c>
      <c r="G4" s="2" t="s">
        <v>262</v>
      </c>
      <c r="H4" s="2" t="s">
        <v>263</v>
      </c>
      <c r="I4" s="2" t="s">
        <v>264</v>
      </c>
      <c r="J4" s="2" t="s">
        <v>265</v>
      </c>
    </row>
    <row r="5" spans="1:10" ht="18" customHeight="1" x14ac:dyDescent="0.25">
      <c r="A5" s="3"/>
      <c r="B5" s="3" t="s">
        <v>266</v>
      </c>
      <c r="C5" s="4">
        <f>C19+C33+C48+C57</f>
        <v>175</v>
      </c>
      <c r="D5" s="3"/>
      <c r="E5" s="3"/>
      <c r="F5" s="3"/>
      <c r="G5" s="3"/>
      <c r="H5" s="3"/>
      <c r="I5" s="4">
        <f>I19+I33+I48+I57</f>
        <v>0</v>
      </c>
      <c r="J5" s="5" t="str">
        <f>IF(C5='[1]Product backlog'!C58,"Khớp tổng điểm Product backlog","Lệch so với Product backlog – cần kiểm tra")</f>
        <v>Khớp tổng điểm Product backlog</v>
      </c>
    </row>
    <row r="6" spans="1:10" ht="30" customHeight="1" x14ac:dyDescent="0.25">
      <c r="A6" s="34" t="s">
        <v>267</v>
      </c>
      <c r="B6" s="34"/>
      <c r="C6" s="34"/>
      <c r="D6" s="34"/>
      <c r="E6" s="34"/>
      <c r="F6" s="34"/>
      <c r="G6" s="34"/>
      <c r="H6" s="34"/>
      <c r="I6" s="34"/>
      <c r="J6" s="34"/>
    </row>
    <row r="7" spans="1:10" ht="30" customHeight="1" x14ac:dyDescent="0.25">
      <c r="A7" s="6" t="s">
        <v>238</v>
      </c>
      <c r="B7" s="6" t="s">
        <v>268</v>
      </c>
      <c r="C7" s="7">
        <f>INDEX('[1]Product backlog'!$C$5:$C$56,MATCH($A7,'[1]Product backlog'!$A$5:$A$56,0))</f>
        <v>5</v>
      </c>
      <c r="D7" s="6" t="s">
        <v>269</v>
      </c>
      <c r="E7" s="8">
        <v>46279</v>
      </c>
      <c r="F7" s="8">
        <v>46283</v>
      </c>
      <c r="G7" s="8"/>
      <c r="H7" s="8"/>
      <c r="I7" s="9"/>
      <c r="J7" s="6" t="s">
        <v>270</v>
      </c>
    </row>
    <row r="8" spans="1:10" ht="16.5" customHeight="1" x14ac:dyDescent="0.25">
      <c r="A8" s="6" t="s">
        <v>40</v>
      </c>
      <c r="B8" s="6" t="s">
        <v>41</v>
      </c>
      <c r="C8" s="7">
        <f>INDEX('[1]Product backlog'!$C$5:$C$56,MATCH($A8,'[1]Product backlog'!$A$5:$A$56,0))</f>
        <v>3</v>
      </c>
      <c r="D8" s="6" t="s">
        <v>271</v>
      </c>
      <c r="E8" s="8">
        <v>46279</v>
      </c>
      <c r="F8" s="8">
        <v>46283</v>
      </c>
      <c r="G8" s="8"/>
      <c r="H8" s="8"/>
      <c r="I8" s="9"/>
      <c r="J8" s="6" t="s">
        <v>272</v>
      </c>
    </row>
    <row r="9" spans="1:10" ht="16.5" customHeight="1" x14ac:dyDescent="0.25">
      <c r="A9" s="6" t="s">
        <v>49</v>
      </c>
      <c r="B9" s="6" t="s">
        <v>50</v>
      </c>
      <c r="C9" s="7">
        <f>INDEX('[1]Product backlog'!$C$5:$C$56,MATCH($A9,'[1]Product backlog'!$A$5:$A$56,0))</f>
        <v>5</v>
      </c>
      <c r="D9" s="6" t="s">
        <v>271</v>
      </c>
      <c r="E9" s="8">
        <v>46279</v>
      </c>
      <c r="F9" s="8">
        <v>46283</v>
      </c>
      <c r="G9" s="8"/>
      <c r="H9" s="8"/>
      <c r="I9" s="9"/>
      <c r="J9" s="6" t="s">
        <v>273</v>
      </c>
    </row>
    <row r="10" spans="1:10" ht="16.5" customHeight="1" x14ac:dyDescent="0.25">
      <c r="A10" s="6" t="s">
        <v>55</v>
      </c>
      <c r="B10" s="6" t="s">
        <v>56</v>
      </c>
      <c r="C10" s="7">
        <f>INDEX('[1]Product backlog'!$C$5:$C$56,MATCH($A10,'[1]Product backlog'!$A$5:$A$56,0))</f>
        <v>5</v>
      </c>
      <c r="D10" s="6" t="s">
        <v>269</v>
      </c>
      <c r="E10" s="8">
        <v>46279</v>
      </c>
      <c r="F10" s="8">
        <v>46290</v>
      </c>
      <c r="G10" s="8"/>
      <c r="H10" s="8"/>
      <c r="I10" s="9"/>
      <c r="J10" s="6" t="s">
        <v>274</v>
      </c>
    </row>
    <row r="11" spans="1:10" ht="16.5" customHeight="1" x14ac:dyDescent="0.25">
      <c r="A11" s="6" t="s">
        <v>61</v>
      </c>
      <c r="B11" s="6" t="s">
        <v>62</v>
      </c>
      <c r="C11" s="7">
        <f>INDEX('[1]Product backlog'!$C$5:$C$56,MATCH($A11,'[1]Product backlog'!$A$5:$A$56,0))</f>
        <v>3</v>
      </c>
      <c r="D11" s="6" t="s">
        <v>275</v>
      </c>
      <c r="E11" s="8">
        <v>46279</v>
      </c>
      <c r="F11" s="8">
        <v>46290</v>
      </c>
      <c r="G11" s="8"/>
      <c r="H11" s="8"/>
      <c r="I11" s="9"/>
      <c r="J11" s="6" t="s">
        <v>276</v>
      </c>
    </row>
    <row r="12" spans="1:10" ht="16.5" customHeight="1" x14ac:dyDescent="0.25">
      <c r="A12" s="6" t="s">
        <v>66</v>
      </c>
      <c r="B12" s="6" t="s">
        <v>67</v>
      </c>
      <c r="C12" s="7">
        <f>INDEX('[1]Product backlog'!$C$5:$C$56,MATCH($A12,'[1]Product backlog'!$A$5:$A$56,0))</f>
        <v>3</v>
      </c>
      <c r="D12" s="6" t="s">
        <v>277</v>
      </c>
      <c r="E12" s="8">
        <v>46286</v>
      </c>
      <c r="F12" s="8">
        <v>46290</v>
      </c>
      <c r="G12" s="8"/>
      <c r="H12" s="8"/>
      <c r="I12" s="9"/>
      <c r="J12" s="6" t="s">
        <v>278</v>
      </c>
    </row>
    <row r="13" spans="1:10" ht="16.5" customHeight="1" x14ac:dyDescent="0.25">
      <c r="A13" s="6" t="s">
        <v>70</v>
      </c>
      <c r="B13" s="6" t="s">
        <v>279</v>
      </c>
      <c r="C13" s="7">
        <f>INDEX('[1]Product backlog'!$C$5:$C$56,MATCH($A13,'[1]Product backlog'!$A$5:$A$56,0))</f>
        <v>2</v>
      </c>
      <c r="D13" s="6" t="s">
        <v>280</v>
      </c>
      <c r="E13" s="8">
        <v>46279</v>
      </c>
      <c r="F13" s="8">
        <v>46290</v>
      </c>
      <c r="G13" s="8"/>
      <c r="H13" s="8"/>
      <c r="I13" s="9"/>
      <c r="J13" s="6" t="s">
        <v>281</v>
      </c>
    </row>
    <row r="14" spans="1:10" ht="16.5" customHeight="1" x14ac:dyDescent="0.25">
      <c r="A14" s="6" t="s">
        <v>74</v>
      </c>
      <c r="B14" s="6" t="s">
        <v>282</v>
      </c>
      <c r="C14" s="7">
        <f>INDEX('[1]Product backlog'!$C$5:$C$56,MATCH($A14,'[1]Product backlog'!$A$5:$A$56,0))</f>
        <v>5</v>
      </c>
      <c r="D14" s="6" t="s">
        <v>275</v>
      </c>
      <c r="E14" s="8">
        <v>46279</v>
      </c>
      <c r="F14" s="8">
        <v>46290</v>
      </c>
      <c r="G14" s="8"/>
      <c r="H14" s="8"/>
      <c r="I14" s="9"/>
      <c r="J14" s="6" t="s">
        <v>283</v>
      </c>
    </row>
    <row r="15" spans="1:10" ht="16.5" customHeight="1" x14ac:dyDescent="0.25">
      <c r="A15" s="6" t="s">
        <v>79</v>
      </c>
      <c r="B15" s="6" t="s">
        <v>284</v>
      </c>
      <c r="C15" s="7">
        <f>INDEX('[1]Product backlog'!$C$5:$C$56,MATCH($A15,'[1]Product backlog'!$A$5:$A$56,0))</f>
        <v>3</v>
      </c>
      <c r="D15" s="6" t="s">
        <v>285</v>
      </c>
      <c r="E15" s="8">
        <v>46286</v>
      </c>
      <c r="F15" s="8">
        <v>46290</v>
      </c>
      <c r="G15" s="8"/>
      <c r="H15" s="8"/>
      <c r="I15" s="9"/>
      <c r="J15" s="6" t="s">
        <v>286</v>
      </c>
    </row>
    <row r="16" spans="1:10" ht="16.5" customHeight="1" x14ac:dyDescent="0.25">
      <c r="A16" s="6" t="s">
        <v>89</v>
      </c>
      <c r="B16" s="6" t="s">
        <v>287</v>
      </c>
      <c r="C16" s="7">
        <f>INDEX('[1]Product backlog'!$C$5:$C$56,MATCH($A16,'[1]Product backlog'!$A$5:$A$56,0))</f>
        <v>5</v>
      </c>
      <c r="D16" s="6" t="s">
        <v>285</v>
      </c>
      <c r="E16" s="8">
        <v>46286</v>
      </c>
      <c r="F16" s="8">
        <v>46290</v>
      </c>
      <c r="G16" s="8"/>
      <c r="H16" s="8"/>
      <c r="I16" s="9"/>
      <c r="J16" s="6" t="s">
        <v>288</v>
      </c>
    </row>
    <row r="17" spans="1:10" ht="16.5" customHeight="1" x14ac:dyDescent="0.25">
      <c r="A17" s="6" t="s">
        <v>94</v>
      </c>
      <c r="B17" s="6" t="s">
        <v>289</v>
      </c>
      <c r="C17" s="7">
        <f>INDEX('[1]Product backlog'!$C$5:$C$56,MATCH($A17,'[1]Product backlog'!$A$5:$A$56,0))</f>
        <v>3</v>
      </c>
      <c r="D17" s="6" t="s">
        <v>271</v>
      </c>
      <c r="E17" s="8">
        <v>46286</v>
      </c>
      <c r="F17" s="8">
        <v>46290</v>
      </c>
      <c r="G17" s="8"/>
      <c r="H17" s="8"/>
      <c r="I17" s="9"/>
      <c r="J17" s="6" t="s">
        <v>290</v>
      </c>
    </row>
    <row r="18" spans="1:10" ht="16.5" customHeight="1" x14ac:dyDescent="0.25">
      <c r="A18" s="6" t="s">
        <v>99</v>
      </c>
      <c r="B18" s="6" t="s">
        <v>100</v>
      </c>
      <c r="C18" s="7">
        <f>INDEX('[1]Product backlog'!$C$5:$C$56,MATCH($A18,'[1]Product backlog'!$A$5:$A$56,0))</f>
        <v>5</v>
      </c>
      <c r="D18" s="6" t="s">
        <v>291</v>
      </c>
      <c r="E18" s="8">
        <v>46286</v>
      </c>
      <c r="F18" s="8">
        <v>46290</v>
      </c>
      <c r="G18" s="8"/>
      <c r="H18" s="8"/>
      <c r="I18" s="9"/>
      <c r="J18" s="6" t="s">
        <v>292</v>
      </c>
    </row>
    <row r="19" spans="1:10" ht="15" customHeight="1" x14ac:dyDescent="0.25">
      <c r="A19" s="3"/>
      <c r="B19" s="3" t="s">
        <v>293</v>
      </c>
      <c r="C19" s="4">
        <f>SUM(C7:C18)</f>
        <v>47</v>
      </c>
      <c r="D19" s="3"/>
      <c r="E19" s="3"/>
      <c r="F19" s="3"/>
      <c r="G19" s="3"/>
      <c r="H19" s="3"/>
      <c r="I19" s="4">
        <f>SUM(I7:I18)</f>
        <v>0</v>
      </c>
      <c r="J19" s="5"/>
    </row>
    <row r="20" spans="1:10" ht="30" customHeight="1" x14ac:dyDescent="0.25">
      <c r="A20" s="34" t="s">
        <v>294</v>
      </c>
      <c r="B20" s="34"/>
      <c r="C20" s="34"/>
      <c r="D20" s="34"/>
      <c r="E20" s="34"/>
      <c r="F20" s="34"/>
      <c r="G20" s="34"/>
      <c r="H20" s="34"/>
      <c r="I20" s="34"/>
      <c r="J20" s="34"/>
    </row>
    <row r="21" spans="1:10" ht="16.5" customHeight="1" x14ac:dyDescent="0.25">
      <c r="A21" s="6" t="s">
        <v>118</v>
      </c>
      <c r="B21" s="6" t="s">
        <v>295</v>
      </c>
      <c r="C21" s="7">
        <f>INDEX('[1]Product backlog'!$C$5:$C$56,MATCH($A21,'[1]Product backlog'!$A$5:$A$56,0))</f>
        <v>3</v>
      </c>
      <c r="D21" s="6" t="s">
        <v>296</v>
      </c>
      <c r="E21" s="8">
        <v>46293</v>
      </c>
      <c r="F21" s="8">
        <v>46297</v>
      </c>
      <c r="G21" s="8"/>
      <c r="H21" s="8"/>
      <c r="I21" s="9"/>
      <c r="J21" s="6" t="s">
        <v>297</v>
      </c>
    </row>
    <row r="22" spans="1:10" ht="16.5" customHeight="1" x14ac:dyDescent="0.25">
      <c r="A22" s="6" t="s">
        <v>123</v>
      </c>
      <c r="B22" s="6" t="s">
        <v>298</v>
      </c>
      <c r="C22" s="7">
        <f>INDEX('[1]Product backlog'!$C$5:$C$56,MATCH($A22,'[1]Product backlog'!$A$5:$A$56,0))</f>
        <v>3</v>
      </c>
      <c r="D22" s="6" t="s">
        <v>280</v>
      </c>
      <c r="E22" s="8">
        <v>46293</v>
      </c>
      <c r="F22" s="8">
        <v>46297</v>
      </c>
      <c r="G22" s="8"/>
      <c r="H22" s="8"/>
      <c r="I22" s="9"/>
      <c r="J22" s="6" t="s">
        <v>299</v>
      </c>
    </row>
    <row r="23" spans="1:10" ht="16.5" customHeight="1" x14ac:dyDescent="0.25">
      <c r="A23" s="6" t="s">
        <v>128</v>
      </c>
      <c r="B23" s="6" t="s">
        <v>300</v>
      </c>
      <c r="C23" s="7">
        <f>INDEX('[1]Product backlog'!$C$5:$C$56,MATCH($A23,'[1]Product backlog'!$A$5:$A$56,0))</f>
        <v>3</v>
      </c>
      <c r="D23" s="6" t="s">
        <v>296</v>
      </c>
      <c r="E23" s="8">
        <v>46293</v>
      </c>
      <c r="F23" s="8">
        <v>46297</v>
      </c>
      <c r="G23" s="8"/>
      <c r="H23" s="8"/>
      <c r="I23" s="9"/>
      <c r="J23" s="6" t="s">
        <v>301</v>
      </c>
    </row>
    <row r="24" spans="1:10" ht="16.5" customHeight="1" x14ac:dyDescent="0.25">
      <c r="A24" s="6" t="s">
        <v>133</v>
      </c>
      <c r="B24" s="6" t="s">
        <v>302</v>
      </c>
      <c r="C24" s="7">
        <f>INDEX('[1]Product backlog'!$C$5:$C$56,MATCH($A24,'[1]Product backlog'!$A$5:$A$56,0))</f>
        <v>8</v>
      </c>
      <c r="D24" s="6" t="s">
        <v>271</v>
      </c>
      <c r="E24" s="8">
        <v>46293</v>
      </c>
      <c r="F24" s="8">
        <v>46304</v>
      </c>
      <c r="G24" s="8"/>
      <c r="H24" s="8"/>
      <c r="I24" s="9"/>
      <c r="J24" s="6" t="s">
        <v>303</v>
      </c>
    </row>
    <row r="25" spans="1:10" ht="16.5" customHeight="1" x14ac:dyDescent="0.25">
      <c r="A25" s="6" t="s">
        <v>138</v>
      </c>
      <c r="B25" s="6" t="s">
        <v>139</v>
      </c>
      <c r="C25" s="7">
        <f>INDEX('[1]Product backlog'!$C$5:$C$56,MATCH($A25,'[1]Product backlog'!$A$5:$A$56,0))</f>
        <v>5</v>
      </c>
      <c r="D25" s="6" t="s">
        <v>304</v>
      </c>
      <c r="E25" s="8">
        <v>46293</v>
      </c>
      <c r="F25" s="8">
        <v>46304</v>
      </c>
      <c r="G25" s="8"/>
      <c r="H25" s="8"/>
      <c r="I25" s="9"/>
      <c r="J25" s="6" t="s">
        <v>305</v>
      </c>
    </row>
    <row r="26" spans="1:10" ht="16.5" customHeight="1" x14ac:dyDescent="0.25">
      <c r="A26" s="6" t="s">
        <v>142</v>
      </c>
      <c r="B26" s="6" t="s">
        <v>306</v>
      </c>
      <c r="C26" s="7">
        <f>INDEX('[1]Product backlog'!$C$5:$C$56,MATCH($A26,'[1]Product backlog'!$A$5:$A$56,0))</f>
        <v>5</v>
      </c>
      <c r="D26" s="6" t="s">
        <v>304</v>
      </c>
      <c r="E26" s="8">
        <v>46293</v>
      </c>
      <c r="F26" s="8">
        <v>46304</v>
      </c>
      <c r="G26" s="8"/>
      <c r="H26" s="8"/>
      <c r="I26" s="9"/>
      <c r="J26" s="6" t="s">
        <v>307</v>
      </c>
    </row>
    <row r="27" spans="1:10" ht="16.5" customHeight="1" x14ac:dyDescent="0.25">
      <c r="A27" s="6" t="s">
        <v>147</v>
      </c>
      <c r="B27" s="6" t="s">
        <v>308</v>
      </c>
      <c r="C27" s="7">
        <f>INDEX('[1]Product backlog'!$C$5:$C$56,MATCH($A27,'[1]Product backlog'!$A$5:$A$56,0))</f>
        <v>8</v>
      </c>
      <c r="D27" s="6" t="s">
        <v>271</v>
      </c>
      <c r="E27" s="8">
        <v>46293</v>
      </c>
      <c r="F27" s="8">
        <v>46304</v>
      </c>
      <c r="G27" s="8"/>
      <c r="H27" s="8"/>
      <c r="I27" s="9"/>
      <c r="J27" s="6" t="s">
        <v>309</v>
      </c>
    </row>
    <row r="28" spans="1:10" ht="16.5" customHeight="1" x14ac:dyDescent="0.25">
      <c r="A28" s="6" t="s">
        <v>152</v>
      </c>
      <c r="B28" s="6" t="s">
        <v>310</v>
      </c>
      <c r="C28" s="7">
        <f>INDEX('[1]Product backlog'!$C$5:$C$56,MATCH($A28,'[1]Product backlog'!$A$5:$A$56,0))</f>
        <v>3</v>
      </c>
      <c r="D28" s="6" t="s">
        <v>311</v>
      </c>
      <c r="E28" s="8">
        <v>46300</v>
      </c>
      <c r="F28" s="8">
        <v>46304</v>
      </c>
      <c r="G28" s="8"/>
      <c r="H28" s="8"/>
      <c r="I28" s="9"/>
      <c r="J28" s="6" t="s">
        <v>312</v>
      </c>
    </row>
    <row r="29" spans="1:10" ht="30" customHeight="1" x14ac:dyDescent="0.25">
      <c r="A29" s="6" t="s">
        <v>156</v>
      </c>
      <c r="B29" s="6" t="s">
        <v>313</v>
      </c>
      <c r="C29" s="7">
        <f>INDEX('[1]Product backlog'!$C$5:$C$56,MATCH($A29,'[1]Product backlog'!$A$5:$A$56,0))</f>
        <v>5</v>
      </c>
      <c r="D29" s="6" t="s">
        <v>311</v>
      </c>
      <c r="E29" s="8">
        <v>46293</v>
      </c>
      <c r="F29" s="8">
        <v>46304</v>
      </c>
      <c r="G29" s="8"/>
      <c r="H29" s="8"/>
      <c r="I29" s="9"/>
      <c r="J29" s="6" t="s">
        <v>314</v>
      </c>
    </row>
    <row r="30" spans="1:10" ht="30" customHeight="1" x14ac:dyDescent="0.25">
      <c r="A30" s="6" t="s">
        <v>161</v>
      </c>
      <c r="B30" s="6" t="s">
        <v>315</v>
      </c>
      <c r="C30" s="7">
        <f>INDEX('[1]Product backlog'!$C$5:$C$56,MATCH($A30,'[1]Product backlog'!$A$5:$A$56,0))</f>
        <v>5</v>
      </c>
      <c r="D30" s="6" t="s">
        <v>275</v>
      </c>
      <c r="E30" s="8">
        <v>46300</v>
      </c>
      <c r="F30" s="8">
        <v>46304</v>
      </c>
      <c r="G30" s="8"/>
      <c r="H30" s="8"/>
      <c r="I30" s="9"/>
      <c r="J30" s="6" t="s">
        <v>316</v>
      </c>
    </row>
    <row r="31" spans="1:10" ht="30" customHeight="1" x14ac:dyDescent="0.25">
      <c r="A31" s="6" t="s">
        <v>165</v>
      </c>
      <c r="B31" s="6" t="s">
        <v>166</v>
      </c>
      <c r="C31" s="7">
        <f>INDEX('[1]Product backlog'!$C$5:$C$56,MATCH($A31,'[1]Product backlog'!$A$5:$A$56,0))</f>
        <v>3</v>
      </c>
      <c r="D31" s="6" t="s">
        <v>317</v>
      </c>
      <c r="E31" s="8">
        <v>46300</v>
      </c>
      <c r="F31" s="8">
        <v>46304</v>
      </c>
      <c r="G31" s="8"/>
      <c r="H31" s="8"/>
      <c r="I31" s="9"/>
      <c r="J31" s="6" t="s">
        <v>318</v>
      </c>
    </row>
    <row r="32" spans="1:10" ht="16.5" customHeight="1" x14ac:dyDescent="0.25">
      <c r="A32" s="6" t="s">
        <v>169</v>
      </c>
      <c r="B32" s="6" t="s">
        <v>319</v>
      </c>
      <c r="C32" s="7">
        <f>INDEX('[1]Product backlog'!$C$5:$C$56,MATCH($A32,'[1]Product backlog'!$A$5:$A$56,0))</f>
        <v>3</v>
      </c>
      <c r="D32" s="6" t="s">
        <v>291</v>
      </c>
      <c r="E32" s="8">
        <v>46300</v>
      </c>
      <c r="F32" s="8">
        <v>46304</v>
      </c>
      <c r="G32" s="8"/>
      <c r="H32" s="8"/>
      <c r="I32" s="9"/>
      <c r="J32" s="6" t="s">
        <v>320</v>
      </c>
    </row>
    <row r="33" spans="1:10" ht="15" customHeight="1" x14ac:dyDescent="0.25">
      <c r="A33" s="3"/>
      <c r="B33" s="3" t="s">
        <v>321</v>
      </c>
      <c r="C33" s="4">
        <f>SUM(C21:C32)</f>
        <v>54</v>
      </c>
      <c r="D33" s="3"/>
      <c r="E33" s="3"/>
      <c r="F33" s="3"/>
      <c r="G33" s="3"/>
      <c r="H33" s="3"/>
      <c r="I33" s="4">
        <f>SUM(I21:I32)</f>
        <v>0</v>
      </c>
      <c r="J33" s="5"/>
    </row>
    <row r="34" spans="1:10" ht="30" customHeight="1" x14ac:dyDescent="0.25">
      <c r="A34" s="34" t="s">
        <v>322</v>
      </c>
      <c r="B34" s="34"/>
      <c r="C34" s="34"/>
      <c r="D34" s="34"/>
      <c r="E34" s="34"/>
      <c r="F34" s="34"/>
      <c r="G34" s="34"/>
      <c r="H34" s="34"/>
      <c r="I34" s="34"/>
      <c r="J34" s="34"/>
    </row>
    <row r="35" spans="1:10" ht="30" customHeight="1" x14ac:dyDescent="0.25">
      <c r="A35" s="6" t="s">
        <v>83</v>
      </c>
      <c r="B35" s="6" t="s">
        <v>84</v>
      </c>
      <c r="C35" s="7">
        <f>INDEX('[1]Product backlog'!$C$5:$C$56,MATCH($A35,'[1]Product backlog'!$A$5:$A$56,0))</f>
        <v>5</v>
      </c>
      <c r="D35" s="6" t="s">
        <v>296</v>
      </c>
      <c r="E35" s="8">
        <v>46307</v>
      </c>
      <c r="F35" s="8">
        <v>46311</v>
      </c>
      <c r="G35" s="8"/>
      <c r="H35" s="8"/>
      <c r="I35" s="9"/>
      <c r="J35" s="6" t="s">
        <v>323</v>
      </c>
    </row>
    <row r="36" spans="1:10" ht="16.5" customHeight="1" x14ac:dyDescent="0.25">
      <c r="A36" s="6" t="s">
        <v>103</v>
      </c>
      <c r="B36" s="6" t="s">
        <v>324</v>
      </c>
      <c r="C36" s="7">
        <f>INDEX('[1]Product backlog'!$C$5:$C$56,MATCH($A36,'[1]Product backlog'!$A$5:$A$56,0))</f>
        <v>3</v>
      </c>
      <c r="D36" s="6" t="s">
        <v>271</v>
      </c>
      <c r="E36" s="8">
        <v>46307</v>
      </c>
      <c r="F36" s="8">
        <v>46311</v>
      </c>
      <c r="G36" s="8"/>
      <c r="H36" s="8"/>
      <c r="I36" s="9"/>
      <c r="J36" s="6" t="s">
        <v>325</v>
      </c>
    </row>
    <row r="37" spans="1:10" ht="16.5" customHeight="1" x14ac:dyDescent="0.25">
      <c r="A37" s="6" t="s">
        <v>112</v>
      </c>
      <c r="B37" s="6" t="s">
        <v>326</v>
      </c>
      <c r="C37" s="7">
        <f>INDEX('[1]Product backlog'!$C$5:$C$56,MATCH($A37,'[1]Product backlog'!$A$5:$A$56,0))</f>
        <v>3</v>
      </c>
      <c r="D37" s="6" t="s">
        <v>327</v>
      </c>
      <c r="E37" s="8">
        <v>46307</v>
      </c>
      <c r="F37" s="8">
        <v>46311</v>
      </c>
      <c r="G37" s="8"/>
      <c r="H37" s="8"/>
      <c r="I37" s="9"/>
      <c r="J37" s="6" t="s">
        <v>328</v>
      </c>
    </row>
    <row r="38" spans="1:10" ht="16.5" customHeight="1" x14ac:dyDescent="0.25">
      <c r="A38" s="6" t="s">
        <v>108</v>
      </c>
      <c r="B38" s="6" t="s">
        <v>329</v>
      </c>
      <c r="C38" s="7">
        <f>INDEX('[1]Product backlog'!$C$5:$C$56,MATCH($A38,'[1]Product backlog'!$A$5:$A$56,0))</f>
        <v>3</v>
      </c>
      <c r="D38" s="6" t="s">
        <v>317</v>
      </c>
      <c r="E38" s="8">
        <v>46307</v>
      </c>
      <c r="F38" s="8">
        <v>46318</v>
      </c>
      <c r="G38" s="8"/>
      <c r="H38" s="8"/>
      <c r="I38" s="9"/>
      <c r="J38" s="6" t="s">
        <v>330</v>
      </c>
    </row>
    <row r="39" spans="1:10" ht="16.5" customHeight="1" x14ac:dyDescent="0.25">
      <c r="A39" s="6" t="s">
        <v>174</v>
      </c>
      <c r="B39" s="6" t="s">
        <v>175</v>
      </c>
      <c r="C39" s="7">
        <f>INDEX('[1]Product backlog'!$C$5:$C$56,MATCH($A39,'[1]Product backlog'!$A$5:$A$56,0))</f>
        <v>5</v>
      </c>
      <c r="D39" s="6" t="s">
        <v>291</v>
      </c>
      <c r="E39" s="8">
        <v>46307</v>
      </c>
      <c r="F39" s="8">
        <v>46318</v>
      </c>
      <c r="G39" s="8"/>
      <c r="H39" s="8"/>
      <c r="I39" s="9"/>
      <c r="J39" s="6" t="s">
        <v>331</v>
      </c>
    </row>
    <row r="40" spans="1:10" ht="16.5" customHeight="1" x14ac:dyDescent="0.25">
      <c r="A40" s="6" t="s">
        <v>179</v>
      </c>
      <c r="B40" s="6" t="s">
        <v>180</v>
      </c>
      <c r="C40" s="7">
        <f>INDEX('[1]Product backlog'!$C$5:$C$56,MATCH($A40,'[1]Product backlog'!$A$5:$A$56,0))</f>
        <v>2</v>
      </c>
      <c r="D40" s="6" t="s">
        <v>317</v>
      </c>
      <c r="E40" s="8">
        <v>46314</v>
      </c>
      <c r="F40" s="8">
        <v>46318</v>
      </c>
      <c r="G40" s="8"/>
      <c r="H40" s="8"/>
      <c r="I40" s="9"/>
      <c r="J40" s="6" t="s">
        <v>332</v>
      </c>
    </row>
    <row r="41" spans="1:10" ht="16.5" customHeight="1" x14ac:dyDescent="0.25">
      <c r="A41" s="6" t="s">
        <v>183</v>
      </c>
      <c r="B41" s="6" t="s">
        <v>333</v>
      </c>
      <c r="C41" s="7">
        <f>INDEX('[1]Product backlog'!$C$5:$C$56,MATCH($A41,'[1]Product backlog'!$A$5:$A$56,0))</f>
        <v>3</v>
      </c>
      <c r="D41" s="6" t="s">
        <v>317</v>
      </c>
      <c r="E41" s="8">
        <v>46307</v>
      </c>
      <c r="F41" s="8">
        <v>46311</v>
      </c>
      <c r="G41" s="8"/>
      <c r="H41" s="8"/>
      <c r="I41" s="9"/>
      <c r="J41" s="6" t="s">
        <v>334</v>
      </c>
    </row>
    <row r="42" spans="1:10" ht="16.5" customHeight="1" x14ac:dyDescent="0.25">
      <c r="A42" s="6" t="s">
        <v>188</v>
      </c>
      <c r="B42" s="6" t="s">
        <v>335</v>
      </c>
      <c r="C42" s="7">
        <f>INDEX('[1]Product backlog'!$C$5:$C$56,MATCH($A42,'[1]Product backlog'!$A$5:$A$56,0))</f>
        <v>5</v>
      </c>
      <c r="D42" s="6" t="s">
        <v>291</v>
      </c>
      <c r="E42" s="8">
        <v>46314</v>
      </c>
      <c r="F42" s="8">
        <v>46318</v>
      </c>
      <c r="G42" s="8"/>
      <c r="H42" s="8"/>
      <c r="I42" s="9"/>
      <c r="J42" s="6" t="s">
        <v>336</v>
      </c>
    </row>
    <row r="43" spans="1:10" ht="16.5" customHeight="1" x14ac:dyDescent="0.25">
      <c r="A43" s="6" t="s">
        <v>208</v>
      </c>
      <c r="B43" s="6" t="s">
        <v>337</v>
      </c>
      <c r="C43" s="7">
        <f>INDEX('[1]Product backlog'!$C$5:$C$56,MATCH($A43,'[1]Product backlog'!$A$5:$A$56,0))</f>
        <v>3</v>
      </c>
      <c r="D43" s="6" t="s">
        <v>277</v>
      </c>
      <c r="E43" s="8">
        <v>46307</v>
      </c>
      <c r="F43" s="8">
        <v>46311</v>
      </c>
      <c r="G43" s="8"/>
      <c r="H43" s="8"/>
      <c r="I43" s="9"/>
      <c r="J43" s="6" t="s">
        <v>338</v>
      </c>
    </row>
    <row r="44" spans="1:10" ht="16.5" customHeight="1" x14ac:dyDescent="0.25">
      <c r="A44" s="6" t="s">
        <v>213</v>
      </c>
      <c r="B44" s="6" t="s">
        <v>339</v>
      </c>
      <c r="C44" s="7">
        <f>INDEX('[1]Product backlog'!$C$5:$C$56,MATCH($A44,'[1]Product backlog'!$A$5:$A$56,0))</f>
        <v>3</v>
      </c>
      <c r="D44" s="6" t="s">
        <v>277</v>
      </c>
      <c r="E44" s="8">
        <v>46307</v>
      </c>
      <c r="F44" s="8">
        <v>46318</v>
      </c>
      <c r="G44" s="8"/>
      <c r="H44" s="8"/>
      <c r="I44" s="9"/>
      <c r="J44" s="6" t="s">
        <v>340</v>
      </c>
    </row>
    <row r="45" spans="1:10" ht="16.5" customHeight="1" x14ac:dyDescent="0.25">
      <c r="A45" s="6" t="s">
        <v>193</v>
      </c>
      <c r="B45" s="6" t="s">
        <v>341</v>
      </c>
      <c r="C45" s="7">
        <f>INDEX('[1]Product backlog'!$C$5:$C$56,MATCH($A45,'[1]Product backlog'!$A$5:$A$56,0))</f>
        <v>5</v>
      </c>
      <c r="D45" s="6" t="s">
        <v>291</v>
      </c>
      <c r="E45" s="8">
        <v>46307</v>
      </c>
      <c r="F45" s="8">
        <v>46318</v>
      </c>
      <c r="G45" s="8"/>
      <c r="H45" s="8"/>
      <c r="I45" s="9"/>
      <c r="J45" s="6" t="s">
        <v>342</v>
      </c>
    </row>
    <row r="46" spans="1:10" ht="16.5" customHeight="1" x14ac:dyDescent="0.25">
      <c r="A46" s="6" t="s">
        <v>198</v>
      </c>
      <c r="B46" s="6" t="s">
        <v>343</v>
      </c>
      <c r="C46" s="7">
        <f>INDEX('[1]Product backlog'!$C$5:$C$56,MATCH($A46,'[1]Product backlog'!$A$5:$A$56,0))</f>
        <v>3</v>
      </c>
      <c r="D46" s="6" t="s">
        <v>317</v>
      </c>
      <c r="E46" s="8">
        <v>46314</v>
      </c>
      <c r="F46" s="8">
        <v>46318</v>
      </c>
      <c r="G46" s="8"/>
      <c r="H46" s="8"/>
      <c r="I46" s="9"/>
      <c r="J46" s="6" t="s">
        <v>344</v>
      </c>
    </row>
    <row r="47" spans="1:10" ht="16.5" customHeight="1" x14ac:dyDescent="0.25">
      <c r="A47" s="6" t="s">
        <v>203</v>
      </c>
      <c r="B47" s="6" t="s">
        <v>345</v>
      </c>
      <c r="C47" s="7">
        <f>INDEX('[1]Product backlog'!$C$5:$C$56,MATCH($A47,'[1]Product backlog'!$A$5:$A$56,0))</f>
        <v>3</v>
      </c>
      <c r="D47" s="6" t="s">
        <v>275</v>
      </c>
      <c r="E47" s="8">
        <v>46314</v>
      </c>
      <c r="F47" s="8">
        <v>46318</v>
      </c>
      <c r="G47" s="8"/>
      <c r="H47" s="8"/>
      <c r="I47" s="9"/>
      <c r="J47" s="6" t="s">
        <v>346</v>
      </c>
    </row>
    <row r="48" spans="1:10" ht="15" customHeight="1" x14ac:dyDescent="0.25">
      <c r="A48" s="3"/>
      <c r="B48" s="3" t="s">
        <v>347</v>
      </c>
      <c r="C48" s="4">
        <f>SUM(C35:C47)</f>
        <v>46</v>
      </c>
      <c r="D48" s="3"/>
      <c r="E48" s="3"/>
      <c r="F48" s="3"/>
      <c r="G48" s="3"/>
      <c r="H48" s="3"/>
      <c r="I48" s="4">
        <f>SUM(I35:I47)</f>
        <v>0</v>
      </c>
      <c r="J48" s="5"/>
    </row>
    <row r="49" spans="1:10" ht="30" customHeight="1" x14ac:dyDescent="0.25">
      <c r="A49" s="34" t="s">
        <v>348</v>
      </c>
      <c r="B49" s="34"/>
      <c r="C49" s="34"/>
      <c r="D49" s="34"/>
      <c r="E49" s="34"/>
      <c r="F49" s="34"/>
      <c r="G49" s="34"/>
      <c r="H49" s="34"/>
      <c r="I49" s="34"/>
      <c r="J49" s="34"/>
    </row>
    <row r="50" spans="1:10" ht="30" customHeight="1" x14ac:dyDescent="0.25">
      <c r="A50" s="6" t="s">
        <v>218</v>
      </c>
      <c r="B50" s="6" t="s">
        <v>349</v>
      </c>
      <c r="C50" s="7">
        <f>INDEX('[1]Product backlog'!$C$5:$C$56,MATCH($A50,'[1]Product backlog'!$A$5:$A$56,0))</f>
        <v>5</v>
      </c>
      <c r="D50" s="6" t="s">
        <v>296</v>
      </c>
      <c r="E50" s="8">
        <v>46321</v>
      </c>
      <c r="F50" s="8">
        <v>46325</v>
      </c>
      <c r="G50" s="8"/>
      <c r="H50" s="8"/>
      <c r="I50" s="9"/>
      <c r="J50" s="6" t="s">
        <v>350</v>
      </c>
    </row>
    <row r="51" spans="1:10" ht="30" customHeight="1" x14ac:dyDescent="0.25">
      <c r="A51" s="6" t="s">
        <v>224</v>
      </c>
      <c r="B51" s="6" t="s">
        <v>351</v>
      </c>
      <c r="C51" s="7">
        <f>INDEX('[1]Product backlog'!$C$5:$C$56,MATCH($A51,'[1]Product backlog'!$A$5:$A$56,0))</f>
        <v>5</v>
      </c>
      <c r="D51" s="6" t="s">
        <v>280</v>
      </c>
      <c r="E51" s="8">
        <v>46321</v>
      </c>
      <c r="F51" s="8">
        <v>46325</v>
      </c>
      <c r="G51" s="8"/>
      <c r="H51" s="8"/>
      <c r="I51" s="9"/>
      <c r="J51" s="6" t="s">
        <v>352</v>
      </c>
    </row>
    <row r="52" spans="1:10" ht="16.5" customHeight="1" x14ac:dyDescent="0.25">
      <c r="A52" s="6" t="s">
        <v>229</v>
      </c>
      <c r="B52" s="6" t="s">
        <v>353</v>
      </c>
      <c r="C52" s="7">
        <f>INDEX('[1]Product backlog'!$C$5:$C$56,MATCH($A52,'[1]Product backlog'!$A$5:$A$56,0))</f>
        <v>5</v>
      </c>
      <c r="D52" s="6" t="s">
        <v>296</v>
      </c>
      <c r="E52" s="8">
        <v>46321</v>
      </c>
      <c r="F52" s="8">
        <v>46325</v>
      </c>
      <c r="G52" s="8"/>
      <c r="H52" s="8"/>
      <c r="I52" s="9"/>
      <c r="J52" s="6" t="s">
        <v>354</v>
      </c>
    </row>
    <row r="53" spans="1:10" ht="16.5" customHeight="1" x14ac:dyDescent="0.25">
      <c r="A53" s="6" t="s">
        <v>233</v>
      </c>
      <c r="B53" s="6" t="s">
        <v>355</v>
      </c>
      <c r="C53" s="7">
        <f>INDEX('[1]Product backlog'!$C$5:$C$56,MATCH($A53,'[1]Product backlog'!$A$5:$A$56,0))</f>
        <v>5</v>
      </c>
      <c r="D53" s="6" t="s">
        <v>280</v>
      </c>
      <c r="E53" s="8">
        <v>46321</v>
      </c>
      <c r="F53" s="8">
        <v>46325</v>
      </c>
      <c r="G53" s="8"/>
      <c r="H53" s="8"/>
      <c r="I53" s="9"/>
      <c r="J53" s="6" t="s">
        <v>356</v>
      </c>
    </row>
    <row r="54" spans="1:10" ht="16.5" customHeight="1" x14ac:dyDescent="0.25">
      <c r="A54" s="6" t="s">
        <v>244</v>
      </c>
      <c r="B54" s="6" t="s">
        <v>357</v>
      </c>
      <c r="C54" s="7">
        <f>INDEX('[1]Product backlog'!$C$5:$C$56,MATCH($A54,'[1]Product backlog'!$A$5:$A$56,0))</f>
        <v>8</v>
      </c>
      <c r="D54" s="6" t="s">
        <v>358</v>
      </c>
      <c r="E54" s="8">
        <v>46321</v>
      </c>
      <c r="F54" s="8">
        <v>46332</v>
      </c>
      <c r="G54" s="8"/>
      <c r="H54" s="8"/>
      <c r="I54" s="9"/>
      <c r="J54" s="6" t="s">
        <v>359</v>
      </c>
    </row>
    <row r="55" spans="1:10" ht="30" customHeight="1" x14ac:dyDescent="0.25">
      <c r="A55" s="6" t="s">
        <v>360</v>
      </c>
      <c r="B55" s="6" t="s">
        <v>361</v>
      </c>
      <c r="C55" s="7" t="s">
        <v>362</v>
      </c>
      <c r="D55" s="6" t="s">
        <v>363</v>
      </c>
      <c r="E55" s="8">
        <v>46321</v>
      </c>
      <c r="F55" s="8">
        <v>46332</v>
      </c>
      <c r="G55" s="8"/>
      <c r="H55" s="8"/>
      <c r="I55" s="9"/>
      <c r="J55" s="6" t="s">
        <v>364</v>
      </c>
    </row>
    <row r="56" spans="1:10" ht="30" customHeight="1" x14ac:dyDescent="0.25">
      <c r="A56" s="6" t="s">
        <v>365</v>
      </c>
      <c r="B56" s="6" t="s">
        <v>366</v>
      </c>
      <c r="C56" s="7" t="s">
        <v>362</v>
      </c>
      <c r="D56" s="6" t="s">
        <v>367</v>
      </c>
      <c r="E56" s="8">
        <v>46321</v>
      </c>
      <c r="F56" s="8">
        <v>46332</v>
      </c>
      <c r="G56" s="8"/>
      <c r="H56" s="8"/>
      <c r="I56" s="9"/>
      <c r="J56" s="6" t="s">
        <v>368</v>
      </c>
    </row>
    <row r="57" spans="1:10" ht="21.75" customHeight="1" x14ac:dyDescent="0.25">
      <c r="A57" s="3"/>
      <c r="B57" s="3" t="s">
        <v>369</v>
      </c>
      <c r="C57" s="4">
        <f>SUM(C50:C56)</f>
        <v>28</v>
      </c>
      <c r="D57" s="3"/>
      <c r="E57" s="3"/>
      <c r="F57" s="3"/>
      <c r="G57" s="3"/>
      <c r="H57" s="3"/>
      <c r="I57" s="4">
        <f>SUM(I50:I56)</f>
        <v>0</v>
      </c>
      <c r="J57" s="5" t="s">
        <v>370</v>
      </c>
    </row>
  </sheetData>
  <mergeCells count="7">
    <mergeCell ref="A34:J34"/>
    <mergeCell ref="A49:J49"/>
    <mergeCell ref="A1:J1"/>
    <mergeCell ref="E3:F3"/>
    <mergeCell ref="G3:H3"/>
    <mergeCell ref="A6:J6"/>
    <mergeCell ref="A20:J2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Đoàn Vinh Danh</cp:lastModifiedBy>
  <cp:revision>0</cp:revision>
  <dcterms:created xsi:type="dcterms:W3CDTF">2026-10-07T07:21:00Z</dcterms:created>
  <dcterms:modified xsi:type="dcterms:W3CDTF">2026-10-07T14:56:02Z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31BF57F9199A4BB2AF4421B3DE7472F8_12</vt:lpwstr>
  </property>
  <property fmtid="{D5CDD505-2E9C-101B-9397-08002B2CF9AE}" pid="3" name="KSOProductBuildVer">
    <vt:lpwstr>1033-12.1.0.28485</vt:lpwstr>
  </property>
  <property fmtid="{D5CDD505-2E9C-101B-9397-08002B2CF9AE}" pid="4" name="CalculationRule">
    <vt:i4>0</vt:i4>
  </property>
</Properties>
</file>